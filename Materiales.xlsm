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EO\Google Drive\Documentos_Drive\Proyectos\3D proyecto Nero V4\"/>
    </mc:Choice>
  </mc:AlternateContent>
  <xr:revisionPtr revIDLastSave="0" documentId="13_ncr:1_{3EA69105-7B22-45A3-AE6B-5EE1F0D2A96F}" xr6:coauthVersionLast="41" xr6:coauthVersionMax="41" xr10:uidLastSave="{00000000-0000-0000-0000-000000000000}"/>
  <bookViews>
    <workbookView xWindow="-108" yWindow="492" windowWidth="23256" windowHeight="12576" tabRatio="617" xr2:uid="{5A3DBAF3-25CA-49CF-BA38-5414CF47ACC9}"/>
  </bookViews>
  <sheets>
    <sheet name="Tabla Interactiva" sheetId="1" r:id="rId1"/>
    <sheet name="Elementos" sheetId="3" r:id="rId2"/>
    <sheet name="Marco" sheetId="4" r:id="rId3"/>
    <sheet name="Partes 3D" sheetId="5" r:id="rId4"/>
    <sheet name="Tornill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" i="1" l="1"/>
  <c r="C15" i="5"/>
  <c r="F15" i="5"/>
  <c r="C12" i="5"/>
  <c r="C13" i="5"/>
  <c r="C14" i="5"/>
  <c r="F12" i="5"/>
  <c r="F13" i="5"/>
  <c r="F14" i="5"/>
  <c r="G8" i="5"/>
  <c r="F7" i="5"/>
  <c r="F8" i="5"/>
  <c r="F6" i="5"/>
  <c r="F9" i="5"/>
  <c r="F10" i="5"/>
  <c r="F11" i="5"/>
  <c r="F4" i="5"/>
  <c r="F5" i="5"/>
  <c r="G5" i="5" s="1"/>
  <c r="C4" i="5"/>
  <c r="C5" i="5"/>
  <c r="C6" i="5"/>
  <c r="C7" i="5"/>
  <c r="C8" i="5"/>
  <c r="C9" i="5"/>
  <c r="C10" i="5"/>
  <c r="C11" i="5"/>
  <c r="C3" i="5"/>
  <c r="F3" i="5"/>
  <c r="I14" i="1"/>
  <c r="I15" i="1"/>
  <c r="I16" i="1"/>
  <c r="I17" i="1"/>
  <c r="I18" i="1"/>
  <c r="I19" i="1"/>
  <c r="I20" i="1"/>
  <c r="I21" i="1"/>
  <c r="I22" i="1"/>
  <c r="I23" i="1"/>
  <c r="L8" i="1" s="1"/>
  <c r="I26" i="1"/>
  <c r="F26" i="1"/>
  <c r="F25" i="1"/>
  <c r="I25" i="1" s="1"/>
  <c r="I24" i="1"/>
  <c r="F24" i="1"/>
  <c r="E26" i="1"/>
  <c r="E25" i="1"/>
  <c r="E24" i="1"/>
  <c r="L5" i="1"/>
  <c r="C8" i="4"/>
  <c r="C6" i="4"/>
  <c r="C5" i="4"/>
  <c r="L7" i="1"/>
  <c r="I11" i="1"/>
  <c r="I12" i="1"/>
  <c r="I13" i="1" l="1"/>
  <c r="L4" i="1" s="1"/>
  <c r="G15" i="5"/>
  <c r="G4" i="5"/>
  <c r="G14" i="5"/>
  <c r="G12" i="5"/>
  <c r="G11" i="5"/>
  <c r="G10" i="5"/>
  <c r="G13" i="5"/>
  <c r="G9" i="5"/>
  <c r="G7" i="5"/>
  <c r="G6" i="5"/>
  <c r="G3" i="5"/>
  <c r="I5" i="1"/>
  <c r="I6" i="1"/>
  <c r="I7" i="1"/>
  <c r="I8" i="1"/>
  <c r="I9" i="1"/>
  <c r="I10" i="1"/>
  <c r="I4" i="1"/>
  <c r="G17" i="5" l="1"/>
  <c r="I3" i="1"/>
  <c r="L3" i="1" s="1"/>
  <c r="L9" i="1" s="1"/>
  <c r="J6" i="2"/>
  <c r="I6" i="2"/>
  <c r="I7" i="2"/>
  <c r="I5" i="2" l="1"/>
  <c r="I4" i="2"/>
  <c r="I9" i="2"/>
  <c r="I8" i="2" l="1"/>
  <c r="I10" i="2" s="1"/>
  <c r="E27" i="2"/>
  <c r="E17" i="2"/>
  <c r="E9" i="2" l="1"/>
  <c r="E4" i="2"/>
  <c r="E29" i="2" s="1"/>
</calcChain>
</file>

<file path=xl/sharedStrings.xml><?xml version="1.0" encoding="utf-8"?>
<sst xmlns="http://schemas.openxmlformats.org/spreadsheetml/2006/main" count="268" uniqueCount="180">
  <si>
    <t>TORNILLOS</t>
  </si>
  <si>
    <t>Tipo</t>
  </si>
  <si>
    <t xml:space="preserve">Longitud </t>
  </si>
  <si>
    <r>
      <t xml:space="preserve"> </t>
    </r>
    <r>
      <rPr>
        <b/>
        <sz val="11"/>
        <color theme="1"/>
        <rFont val="Calibri"/>
        <family val="2"/>
        <scheme val="minor"/>
      </rPr>
      <t>Cantidad</t>
    </r>
  </si>
  <si>
    <t>M3</t>
  </si>
  <si>
    <t>Tabla Resumen</t>
  </si>
  <si>
    <t>Cantidad</t>
  </si>
  <si>
    <t xml:space="preserve">Observaciones </t>
  </si>
  <si>
    <t>Tabla Detallada</t>
  </si>
  <si>
    <t>Fan 4mm</t>
  </si>
  <si>
    <t>.----------------------------------------------Extrusor----------------------------------------------</t>
  </si>
  <si>
    <t>.------------------------------------Estructura Madera------------------------------------------</t>
  </si>
  <si>
    <t>Escuadras</t>
  </si>
  <si>
    <t>Carro X</t>
  </si>
  <si>
    <t>Soportes Z (izq y der)</t>
  </si>
  <si>
    <t>Base Frontal y Trasera</t>
  </si>
  <si>
    <t>Tope Z  (izq y der)</t>
  </si>
  <si>
    <t>Base Lateral-Marco</t>
  </si>
  <si>
    <t xml:space="preserve"> Bobina soporte</t>
  </si>
  <si>
    <t>Total</t>
  </si>
  <si>
    <t>.------------------------------------Estructura Mecanica------------------------------------------</t>
  </si>
  <si>
    <t>Soporte Cama</t>
  </si>
  <si>
    <t>Tuerca Trapezoidal (izq + der)</t>
  </si>
  <si>
    <t xml:space="preserve"> Motor X</t>
  </si>
  <si>
    <t xml:space="preserve"> Motor Y</t>
  </si>
  <si>
    <t>Soporte Motor Y</t>
  </si>
  <si>
    <t>Motor Z + Separador (Izq y Derecha)</t>
  </si>
  <si>
    <t>Soporte polea Y</t>
  </si>
  <si>
    <t>Polea Y</t>
  </si>
  <si>
    <t>M4</t>
  </si>
  <si>
    <t>.------------------------------------Rodamientos------------------------------------------</t>
  </si>
  <si>
    <t>Rodamientos +holder correa Y</t>
  </si>
  <si>
    <t>Ajustador altura Z</t>
  </si>
  <si>
    <t>TOTAL TORNILLOS</t>
  </si>
  <si>
    <t>NUMERO TOTAL DE TORNILLOS</t>
  </si>
  <si>
    <t xml:space="preserve">M3 </t>
  </si>
  <si>
    <t>*</t>
  </si>
  <si>
    <r>
      <t xml:space="preserve">* </t>
    </r>
    <r>
      <rPr>
        <b/>
        <sz val="11"/>
        <color theme="1"/>
        <rFont val="Calibri"/>
        <family val="2"/>
        <scheme val="minor"/>
      </rPr>
      <t xml:space="preserve">Nota: </t>
    </r>
    <r>
      <rPr>
        <sz val="11"/>
        <color theme="1"/>
        <rFont val="Calibri"/>
        <family val="2"/>
        <scheme val="minor"/>
      </rPr>
      <t>Si la estructura tiene doble frontales, 
entonces son M3x20 = 24  y M3x16 = 30</t>
    </r>
  </si>
  <si>
    <t>** Se recomienda comprar por docenas</t>
  </si>
  <si>
    <t>LISTA DE COSTES Y MATERIALES</t>
  </si>
  <si>
    <t>MECANICA</t>
  </si>
  <si>
    <t>Parte</t>
  </si>
  <si>
    <t>Referencia</t>
  </si>
  <si>
    <t xml:space="preserve">Tuerca </t>
  </si>
  <si>
    <t>T8 trapezoidal</t>
  </si>
  <si>
    <t>Precio</t>
  </si>
  <si>
    <t xml:space="preserve">Acople flexible </t>
  </si>
  <si>
    <t>5x8mm</t>
  </si>
  <si>
    <t xml:space="preserve">Correa dentada </t>
  </si>
  <si>
    <t>GT2 6mm de ancho</t>
  </si>
  <si>
    <t>GT2 20 dientes</t>
  </si>
  <si>
    <t>GT2 16 dientes</t>
  </si>
  <si>
    <t xml:space="preserve">Varilla lisa </t>
  </si>
  <si>
    <t>Tuberia aluminio 5/16</t>
  </si>
  <si>
    <t>8mm x 300mm</t>
  </si>
  <si>
    <t>Varilla rosca</t>
  </si>
  <si>
    <t>Polea Activa</t>
  </si>
  <si>
    <t>Polea Pasiva</t>
  </si>
  <si>
    <t>623zz (o cualquiera 3mm interno) + PLA</t>
  </si>
  <si>
    <t xml:space="preserve">Polea pasiva lisa </t>
  </si>
  <si>
    <t>Polea pasiva dentada</t>
  </si>
  <si>
    <t>Trapezoidal M8 x 300mm</t>
  </si>
  <si>
    <t>$</t>
  </si>
  <si>
    <t>$$</t>
  </si>
  <si>
    <t>$$$</t>
  </si>
  <si>
    <t>Elemento</t>
  </si>
  <si>
    <t xml:space="preserve">Partes mecanicas </t>
  </si>
  <si>
    <t>Descripcion</t>
  </si>
  <si>
    <t>SubTotal</t>
  </si>
  <si>
    <t>Acople Flexible</t>
  </si>
  <si>
    <t>Correa dentada</t>
  </si>
  <si>
    <t>Tuerca Z</t>
  </si>
  <si>
    <t>Varilla Lisa</t>
  </si>
  <si>
    <t>Varilla Roscada</t>
  </si>
  <si>
    <t xml:space="preserve">Polea Pasiva </t>
  </si>
  <si>
    <t>Und</t>
  </si>
  <si>
    <t>mts</t>
  </si>
  <si>
    <t>5/16 normal  o M8</t>
  </si>
  <si>
    <t>Tornillo esparrago 5/16 x300mm o M8x3000</t>
  </si>
  <si>
    <t>Partes Electronicas</t>
  </si>
  <si>
    <t>ELECTRONICA</t>
  </si>
  <si>
    <t>Board</t>
  </si>
  <si>
    <t>MKS</t>
  </si>
  <si>
    <t>Drivers PaP</t>
  </si>
  <si>
    <t>Motores</t>
  </si>
  <si>
    <t>Cabezal Extrusor</t>
  </si>
  <si>
    <t>a4988 + Disipador</t>
  </si>
  <si>
    <t>Fuente</t>
  </si>
  <si>
    <t>12V 20A</t>
  </si>
  <si>
    <t>12V 30A</t>
  </si>
  <si>
    <t>TCM2110</t>
  </si>
  <si>
    <t>MK8</t>
  </si>
  <si>
    <t xml:space="preserve">e3d V6 + Titan </t>
  </si>
  <si>
    <t>NEMA 17 0.8A  Usado ML</t>
  </si>
  <si>
    <t>NEMA 17 0.4A  Nuevo</t>
  </si>
  <si>
    <t>NEMA 17 0.8A Usado/Reciclado</t>
  </si>
  <si>
    <t>DRV8825</t>
  </si>
  <si>
    <t>Ventilador de Capa</t>
  </si>
  <si>
    <t>40mm Normal</t>
  </si>
  <si>
    <t>40mm Turbina</t>
  </si>
  <si>
    <t>EndStop</t>
  </si>
  <si>
    <t>MicroSwitch en Tarjeta</t>
  </si>
  <si>
    <t>Sensores Opticos (NECESITA MODIFICACION)</t>
  </si>
  <si>
    <t>Pantalla</t>
  </si>
  <si>
    <t>LCD 12864</t>
  </si>
  <si>
    <t>LCD 2004</t>
  </si>
  <si>
    <t>Sin Pantalla</t>
  </si>
  <si>
    <t>Cama Caliente</t>
  </si>
  <si>
    <t>Sin Cama</t>
  </si>
  <si>
    <t>Arduino MEGA + RAMPS</t>
  </si>
  <si>
    <t>20x20 MK2B</t>
  </si>
  <si>
    <t>Driver PaP</t>
  </si>
  <si>
    <t>Ventilador Capa</t>
  </si>
  <si>
    <t xml:space="preserve">Precio Und (COP) </t>
  </si>
  <si>
    <t>MicroSwitch Sencillo</t>
  </si>
  <si>
    <t>Rodamientos Lineales</t>
  </si>
  <si>
    <t>Rodamientos Radiales</t>
  </si>
  <si>
    <t>PLA ( o PLA + Teflon)</t>
  </si>
  <si>
    <t>LM8UU 8mm Plastico</t>
  </si>
  <si>
    <t>LM8UU Metálico</t>
  </si>
  <si>
    <t>Sin Rodamiento Radial Z</t>
  </si>
  <si>
    <t>12V 10A ( No soporta uso de Cama Caliente)</t>
  </si>
  <si>
    <t>Rodamiento Radial 8mm (688ZZ o equivalente)</t>
  </si>
  <si>
    <t>Rodamiento Lineal</t>
  </si>
  <si>
    <t>Rodamiento Radial</t>
  </si>
  <si>
    <t>RESUMEN</t>
  </si>
  <si>
    <t>Costo</t>
  </si>
  <si>
    <t>Precio Aproximado</t>
  </si>
  <si>
    <t>Partes Mecanicas</t>
  </si>
  <si>
    <t>Marco</t>
  </si>
  <si>
    <t>TOTAL</t>
  </si>
  <si>
    <t>Tornillos</t>
  </si>
  <si>
    <t>Costo del minuto de corte LASER</t>
  </si>
  <si>
    <t>Tiempo de
 mecanizado (minutos)</t>
  </si>
  <si>
    <t xml:space="preserve">Corte LateralesDXF </t>
  </si>
  <si>
    <t>Corte MarcoDXF</t>
  </si>
  <si>
    <t>N/A</t>
  </si>
  <si>
    <t>MDF 6mm  40cm x 50cm</t>
  </si>
  <si>
    <t>MDF 6mm 43cm x 43cm</t>
  </si>
  <si>
    <t>*Detalles y lista en Hoja Marco</t>
  </si>
  <si>
    <t>*Detalles y lista en Hoja tornillos</t>
  </si>
  <si>
    <t>Partes 3D</t>
  </si>
  <si>
    <t>*Detalles y lista en Hoja Partes 3D</t>
  </si>
  <si>
    <t>OTROS</t>
  </si>
  <si>
    <t>Cables</t>
  </si>
  <si>
    <t>Conectores</t>
  </si>
  <si>
    <t>Sujetadores</t>
  </si>
  <si>
    <t>Otros</t>
  </si>
  <si>
    <t>pqt</t>
  </si>
  <si>
    <t>Ribbon 20 hilos AWG 28 o AWG 26</t>
  </si>
  <si>
    <t>Hembras</t>
  </si>
  <si>
    <t>Sujetadores de seguridad para los cables</t>
  </si>
  <si>
    <t>PARTES IMPRESAS EN 3D</t>
  </si>
  <si>
    <t>cantidad de
filamento (mm)</t>
  </si>
  <si>
    <t>Soporte Motor Extrusor</t>
  </si>
  <si>
    <t>Peso (gr)</t>
  </si>
  <si>
    <t>*Nota: Todos los valores fueron calculados con 20% de infill, capas de 0.3mm y velocidad de 40mm/s</t>
  </si>
  <si>
    <t>Tiempo 
(horas)</t>
  </si>
  <si>
    <t xml:space="preserve">Horas </t>
  </si>
  <si>
    <t>*Nota: No se incluye costo de honorarios y gastos extra</t>
  </si>
  <si>
    <t>Costo de Hora</t>
  </si>
  <si>
    <t>Costo de gramo</t>
  </si>
  <si>
    <t>*Nota: El costo se calculó sobre los siguientes valores (Pesos Colombianos)</t>
  </si>
  <si>
    <t>Min</t>
  </si>
  <si>
    <t>Soporte Ventilador Capa</t>
  </si>
  <si>
    <t>Carro X parte 1</t>
  </si>
  <si>
    <t>Carro X parte 2</t>
  </si>
  <si>
    <t>Soporte EndStop X</t>
  </si>
  <si>
    <t>Soporte EndStop Z</t>
  </si>
  <si>
    <t>Separador Motores Z</t>
  </si>
  <si>
    <t>Soporte Polea Y</t>
  </si>
  <si>
    <t>Camisa para Correa Y</t>
  </si>
  <si>
    <t>Carro Z Derecha</t>
  </si>
  <si>
    <t>Carro Z Izquierda</t>
  </si>
  <si>
    <t>Camisa Rodamientos Y</t>
  </si>
  <si>
    <t xml:space="preserve">LCD soportes(2), Polea X(1) </t>
  </si>
  <si>
    <t>LCD case(4), Fan Soporte(2)</t>
  </si>
  <si>
    <t>ELEMENTOS NECESARIOS NERO MV4.5</t>
  </si>
  <si>
    <t>NOTA: * Las partes en 3D estan calculadas sin costo de mano de obra</t>
  </si>
  <si>
    <t>KEY=4444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</si>
</sst>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5" borderId="0" applyNumberFormat="0" applyBorder="0" applyAlignment="0" applyProtection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0" applyFont="1" applyAlignment="1"/>
    <xf numFmtId="0" fontId="0" fillId="2" borderId="3" xfId="0" applyFill="1" applyBorder="1" applyAlignment="1"/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right"/>
    </xf>
    <xf numFmtId="0" fontId="1" fillId="4" borderId="4" xfId="0" applyFont="1" applyFill="1" applyBorder="1" applyAlignment="1"/>
    <xf numFmtId="0" fontId="1" fillId="4" borderId="0" xfId="0" applyFont="1" applyFill="1" applyBorder="1" applyAlignment="1"/>
    <xf numFmtId="0" fontId="0" fillId="4" borderId="5" xfId="0" applyFill="1" applyBorder="1"/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5" xfId="0" applyBorder="1"/>
    <xf numFmtId="0" fontId="0" fillId="4" borderId="0" xfId="0" applyFill="1" applyBorder="1"/>
    <xf numFmtId="0" fontId="0" fillId="4" borderId="0" xfId="0" applyFill="1" applyBorder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1" fillId="2" borderId="7" xfId="0" applyFont="1" applyFill="1" applyBorder="1"/>
    <xf numFmtId="0" fontId="0" fillId="2" borderId="8" xfId="0" applyFill="1" applyBorder="1"/>
    <xf numFmtId="0" fontId="1" fillId="2" borderId="4" xfId="0" applyFont="1" applyFill="1" applyBorder="1"/>
    <xf numFmtId="0" fontId="1" fillId="2" borderId="0" xfId="0" applyFont="1" applyFill="1" applyBorder="1"/>
    <xf numFmtId="0" fontId="0" fillId="2" borderId="5" xfId="0" applyFill="1" applyBorder="1"/>
    <xf numFmtId="0" fontId="1" fillId="2" borderId="6" xfId="0" applyFont="1" applyFill="1" applyBorder="1"/>
    <xf numFmtId="0" fontId="1" fillId="0" borderId="0" xfId="0" applyFont="1"/>
    <xf numFmtId="0" fontId="0" fillId="0" borderId="0" xfId="0" applyAlignment="1"/>
    <xf numFmtId="0" fontId="3" fillId="5" borderId="0" xfId="1"/>
    <xf numFmtId="0" fontId="0" fillId="0" borderId="9" xfId="0" applyBorder="1" applyAlignment="1">
      <alignment vertical="center"/>
    </xf>
    <xf numFmtId="0" fontId="5" fillId="0" borderId="9" xfId="2" applyBorder="1" applyAlignment="1">
      <alignment vertical="center"/>
    </xf>
    <xf numFmtId="0" fontId="5" fillId="0" borderId="9" xfId="2" applyBorder="1" applyAlignment="1">
      <alignment vertical="center" wrapText="1"/>
    </xf>
    <xf numFmtId="0" fontId="0" fillId="0" borderId="9" xfId="0" applyBorder="1"/>
    <xf numFmtId="164" fontId="0" fillId="0" borderId="9" xfId="3" applyNumberFormat="1" applyFont="1" applyBorder="1"/>
    <xf numFmtId="164" fontId="0" fillId="0" borderId="0" xfId="3" applyNumberFormat="1" applyFont="1"/>
    <xf numFmtId="164" fontId="1" fillId="2" borderId="9" xfId="3" applyNumberFormat="1" applyFont="1" applyFill="1" applyBorder="1" applyAlignment="1"/>
    <xf numFmtId="0" fontId="7" fillId="0" borderId="9" xfId="2" applyFont="1" applyBorder="1" applyAlignment="1">
      <alignment vertical="center"/>
    </xf>
    <xf numFmtId="0" fontId="1" fillId="6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 vertical="center"/>
    </xf>
    <xf numFmtId="164" fontId="2" fillId="3" borderId="9" xfId="3" applyNumberFormat="1" applyFont="1" applyFill="1" applyBorder="1" applyAlignment="1">
      <alignment horizontal="center"/>
    </xf>
    <xf numFmtId="0" fontId="5" fillId="0" borderId="9" xfId="2" applyBorder="1"/>
    <xf numFmtId="0" fontId="5" fillId="0" borderId="0" xfId="2" applyFill="1"/>
    <xf numFmtId="164" fontId="1" fillId="4" borderId="9" xfId="3" applyNumberFormat="1" applyFont="1" applyFill="1" applyBorder="1"/>
    <xf numFmtId="0" fontId="0" fillId="0" borderId="11" xfId="0" applyFill="1" applyBorder="1" applyAlignment="1">
      <alignment vertical="center"/>
    </xf>
    <xf numFmtId="0" fontId="0" fillId="0" borderId="0" xfId="0" applyAlignment="1">
      <alignment horizontal="center"/>
    </xf>
    <xf numFmtId="164" fontId="0" fillId="0" borderId="0" xfId="3" applyNumberFormat="1" applyFont="1" applyBorder="1"/>
    <xf numFmtId="0" fontId="0" fillId="0" borderId="9" xfId="0" applyBorder="1" applyAlignment="1">
      <alignment horizontal="center"/>
    </xf>
    <xf numFmtId="44" fontId="0" fillId="0" borderId="9" xfId="3" applyFont="1" applyBorder="1"/>
    <xf numFmtId="0" fontId="2" fillId="0" borderId="0" xfId="0" applyFont="1" applyFill="1" applyAlignment="1"/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0" fillId="0" borderId="0" xfId="0" applyAlignment="1">
      <alignment vertical="center" wrapText="1"/>
    </xf>
    <xf numFmtId="0" fontId="1" fillId="6" borderId="9" xfId="0" applyFont="1" applyFill="1" applyBorder="1"/>
    <xf numFmtId="164" fontId="0" fillId="0" borderId="9" xfId="0" applyNumberFormat="1" applyBorder="1"/>
    <xf numFmtId="0" fontId="8" fillId="7" borderId="9" xfId="0" applyFont="1" applyFill="1" applyBorder="1"/>
    <xf numFmtId="44" fontId="0" fillId="0" borderId="0" xfId="3" applyFont="1"/>
    <xf numFmtId="0" fontId="0" fillId="6" borderId="9" xfId="0" applyFill="1" applyBorder="1"/>
    <xf numFmtId="164" fontId="0" fillId="0" borderId="9" xfId="3" applyNumberFormat="1" applyFont="1" applyFill="1" applyBorder="1"/>
    <xf numFmtId="164" fontId="0" fillId="0" borderId="0" xfId="3" applyNumberFormat="1" applyFont="1" applyFill="1" applyBorder="1"/>
    <xf numFmtId="0" fontId="1" fillId="6" borderId="9" xfId="0" applyFont="1" applyFill="1" applyBorder="1" applyAlignment="1">
      <alignment horizontal="center" vertical="center" wrapText="1"/>
    </xf>
    <xf numFmtId="0" fontId="0" fillId="0" borderId="0" xfId="0" applyFill="1" applyBorder="1"/>
    <xf numFmtId="164" fontId="1" fillId="4" borderId="9" xfId="0" applyNumberFormat="1" applyFont="1" applyFill="1" applyBorder="1"/>
    <xf numFmtId="164" fontId="8" fillId="7" borderId="9" xfId="3" applyNumberFormat="1" applyFont="1" applyFill="1" applyBorder="1"/>
    <xf numFmtId="0" fontId="5" fillId="0" borderId="0" xfId="2"/>
    <xf numFmtId="0" fontId="0" fillId="0" borderId="9" xfId="0" applyFill="1" applyBorder="1"/>
    <xf numFmtId="0" fontId="0" fillId="0" borderId="9" xfId="0" quotePrefix="1" applyBorder="1"/>
    <xf numFmtId="0" fontId="0" fillId="0" borderId="0" xfId="0" applyFont="1" applyFill="1" applyAlignment="1">
      <alignment horizontal="left" vertical="center"/>
    </xf>
    <xf numFmtId="165" fontId="0" fillId="0" borderId="0" xfId="0" applyNumberFormat="1"/>
    <xf numFmtId="0" fontId="0" fillId="0" borderId="0" xfId="0" applyNumberFormat="1"/>
    <xf numFmtId="0" fontId="1" fillId="7" borderId="0" xfId="0" applyFont="1" applyFill="1"/>
    <xf numFmtId="165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65" fontId="1" fillId="4" borderId="9" xfId="0" applyNumberFormat="1" applyFont="1" applyFill="1" applyBorder="1" applyAlignment="1">
      <alignment horizontal="left"/>
    </xf>
    <xf numFmtId="0" fontId="1" fillId="4" borderId="9" xfId="0" applyFont="1" applyFill="1" applyBorder="1" applyAlignment="1">
      <alignment horizontal="left" vertical="center"/>
    </xf>
    <xf numFmtId="44" fontId="0" fillId="0" borderId="9" xfId="3" applyFont="1" applyFill="1" applyBorder="1" applyAlignment="1">
      <alignment horizontal="center"/>
    </xf>
    <xf numFmtId="1" fontId="0" fillId="0" borderId="9" xfId="0" applyNumberFormat="1" applyBorder="1"/>
    <xf numFmtId="0" fontId="0" fillId="0" borderId="9" xfId="0" applyNumberFormat="1" applyBorder="1"/>
    <xf numFmtId="44" fontId="6" fillId="0" borderId="9" xfId="3" applyFont="1" applyFill="1" applyBorder="1" applyAlignment="1">
      <alignment horizontal="center" vertical="center"/>
    </xf>
    <xf numFmtId="0" fontId="1" fillId="6" borderId="9" xfId="0" applyNumberFormat="1" applyFont="1" applyFill="1" applyBorder="1" applyAlignment="1">
      <alignment horizontal="center" vertical="center"/>
    </xf>
    <xf numFmtId="0" fontId="0" fillId="0" borderId="0" xfId="0" applyNumberFormat="1" applyBorder="1"/>
    <xf numFmtId="165" fontId="0" fillId="0" borderId="0" xfId="0" applyNumberFormat="1" applyBorder="1"/>
    <xf numFmtId="1" fontId="0" fillId="0" borderId="0" xfId="0" applyNumberFormat="1" applyBorder="1"/>
    <xf numFmtId="42" fontId="0" fillId="0" borderId="0" xfId="3" applyNumberFormat="1" applyFont="1" applyBorder="1"/>
    <xf numFmtId="0" fontId="0" fillId="0" borderId="2" xfId="0" applyNumberFormat="1" applyBorder="1"/>
    <xf numFmtId="42" fontId="0" fillId="0" borderId="9" xfId="3" applyNumberFormat="1" applyFont="1" applyBorder="1" applyAlignment="1">
      <alignment vertical="center"/>
    </xf>
    <xf numFmtId="42" fontId="1" fillId="0" borderId="9" xfId="3" applyNumberFormat="1" applyFont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0" fillId="2" borderId="9" xfId="0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1" fillId="6" borderId="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165" fontId="1" fillId="6" borderId="9" xfId="0" applyNumberFormat="1" applyFont="1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1" fillId="4" borderId="9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9" fillId="8" borderId="0" xfId="0" applyFont="1" applyFill="1" applyBorder="1"/>
  </cellXfs>
  <cellStyles count="4">
    <cellStyle name="Hipervínculo" xfId="2" builtinId="8"/>
    <cellStyle name="Moneda" xfId="3" builtinId="4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3</xdr:row>
          <xdr:rowOff>30480</xdr:rowOff>
        </xdr:from>
        <xdr:to>
          <xdr:col>1</xdr:col>
          <xdr:colOff>304800</xdr:colOff>
          <xdr:row>3</xdr:row>
          <xdr:rowOff>167640</xdr:rowOff>
        </xdr:to>
        <xdr:sp macro="" textlink="">
          <xdr:nvSpPr>
            <xdr:cNvPr id="1034" name="Option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3</xdr:row>
          <xdr:rowOff>30480</xdr:rowOff>
        </xdr:from>
        <xdr:to>
          <xdr:col>2</xdr:col>
          <xdr:colOff>312420</xdr:colOff>
          <xdr:row>3</xdr:row>
          <xdr:rowOff>167640</xdr:rowOff>
        </xdr:to>
        <xdr:sp macro="" textlink="">
          <xdr:nvSpPr>
            <xdr:cNvPr id="1035" name="Option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3</xdr:row>
          <xdr:rowOff>30480</xdr:rowOff>
        </xdr:from>
        <xdr:to>
          <xdr:col>3</xdr:col>
          <xdr:colOff>327660</xdr:colOff>
          <xdr:row>3</xdr:row>
          <xdr:rowOff>167640</xdr:rowOff>
        </xdr:to>
        <xdr:sp macro="" textlink="">
          <xdr:nvSpPr>
            <xdr:cNvPr id="1036" name="OptionButton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4</xdr:row>
          <xdr:rowOff>38100</xdr:rowOff>
        </xdr:from>
        <xdr:to>
          <xdr:col>1</xdr:col>
          <xdr:colOff>304800</xdr:colOff>
          <xdr:row>4</xdr:row>
          <xdr:rowOff>175260</xdr:rowOff>
        </xdr:to>
        <xdr:sp macro="" textlink="">
          <xdr:nvSpPr>
            <xdr:cNvPr id="1037" name="OptionButton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4</xdr:row>
          <xdr:rowOff>38100</xdr:rowOff>
        </xdr:from>
        <xdr:to>
          <xdr:col>2</xdr:col>
          <xdr:colOff>312420</xdr:colOff>
          <xdr:row>4</xdr:row>
          <xdr:rowOff>175260</xdr:rowOff>
        </xdr:to>
        <xdr:sp macro="" textlink="">
          <xdr:nvSpPr>
            <xdr:cNvPr id="1038" name="OptionButton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4</xdr:row>
          <xdr:rowOff>38100</xdr:rowOff>
        </xdr:from>
        <xdr:to>
          <xdr:col>3</xdr:col>
          <xdr:colOff>327660</xdr:colOff>
          <xdr:row>4</xdr:row>
          <xdr:rowOff>175260</xdr:rowOff>
        </xdr:to>
        <xdr:sp macro="" textlink="">
          <xdr:nvSpPr>
            <xdr:cNvPr id="1039" name="OptionButton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5</xdr:row>
          <xdr:rowOff>30480</xdr:rowOff>
        </xdr:from>
        <xdr:to>
          <xdr:col>1</xdr:col>
          <xdr:colOff>304800</xdr:colOff>
          <xdr:row>5</xdr:row>
          <xdr:rowOff>167640</xdr:rowOff>
        </xdr:to>
        <xdr:sp macro="" textlink="">
          <xdr:nvSpPr>
            <xdr:cNvPr id="1040" name="OptionButton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5</xdr:row>
          <xdr:rowOff>30480</xdr:rowOff>
        </xdr:from>
        <xdr:to>
          <xdr:col>2</xdr:col>
          <xdr:colOff>312420</xdr:colOff>
          <xdr:row>5</xdr:row>
          <xdr:rowOff>167640</xdr:rowOff>
        </xdr:to>
        <xdr:sp macro="" textlink="">
          <xdr:nvSpPr>
            <xdr:cNvPr id="1041" name="OptionButton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5</xdr:row>
          <xdr:rowOff>30480</xdr:rowOff>
        </xdr:from>
        <xdr:to>
          <xdr:col>3</xdr:col>
          <xdr:colOff>327660</xdr:colOff>
          <xdr:row>5</xdr:row>
          <xdr:rowOff>167640</xdr:rowOff>
        </xdr:to>
        <xdr:sp macro="" textlink="">
          <xdr:nvSpPr>
            <xdr:cNvPr id="1042" name="OptionButton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6</xdr:row>
          <xdr:rowOff>38100</xdr:rowOff>
        </xdr:from>
        <xdr:to>
          <xdr:col>1</xdr:col>
          <xdr:colOff>304800</xdr:colOff>
          <xdr:row>6</xdr:row>
          <xdr:rowOff>175260</xdr:rowOff>
        </xdr:to>
        <xdr:sp macro="" textlink="">
          <xdr:nvSpPr>
            <xdr:cNvPr id="1043" name="OptionButton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6</xdr:row>
          <xdr:rowOff>38100</xdr:rowOff>
        </xdr:from>
        <xdr:to>
          <xdr:col>2</xdr:col>
          <xdr:colOff>312420</xdr:colOff>
          <xdr:row>6</xdr:row>
          <xdr:rowOff>175260</xdr:rowOff>
        </xdr:to>
        <xdr:sp macro="" textlink="">
          <xdr:nvSpPr>
            <xdr:cNvPr id="1044" name="OptionButton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6</xdr:row>
          <xdr:rowOff>38100</xdr:rowOff>
        </xdr:from>
        <xdr:to>
          <xdr:col>3</xdr:col>
          <xdr:colOff>327660</xdr:colOff>
          <xdr:row>6</xdr:row>
          <xdr:rowOff>175260</xdr:rowOff>
        </xdr:to>
        <xdr:sp macro="" textlink="">
          <xdr:nvSpPr>
            <xdr:cNvPr id="1045" name="OptionButton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7</xdr:row>
          <xdr:rowOff>30480</xdr:rowOff>
        </xdr:from>
        <xdr:to>
          <xdr:col>1</xdr:col>
          <xdr:colOff>304800</xdr:colOff>
          <xdr:row>7</xdr:row>
          <xdr:rowOff>167640</xdr:rowOff>
        </xdr:to>
        <xdr:sp macro="" textlink="">
          <xdr:nvSpPr>
            <xdr:cNvPr id="1046" name="OptionButton13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7</xdr:row>
          <xdr:rowOff>30480</xdr:rowOff>
        </xdr:from>
        <xdr:to>
          <xdr:col>2</xdr:col>
          <xdr:colOff>312420</xdr:colOff>
          <xdr:row>7</xdr:row>
          <xdr:rowOff>167640</xdr:rowOff>
        </xdr:to>
        <xdr:sp macro="" textlink="">
          <xdr:nvSpPr>
            <xdr:cNvPr id="1047" name="OptionButton14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7</xdr:row>
          <xdr:rowOff>30480</xdr:rowOff>
        </xdr:from>
        <xdr:to>
          <xdr:col>3</xdr:col>
          <xdr:colOff>327660</xdr:colOff>
          <xdr:row>7</xdr:row>
          <xdr:rowOff>167640</xdr:rowOff>
        </xdr:to>
        <xdr:sp macro="" textlink="">
          <xdr:nvSpPr>
            <xdr:cNvPr id="1048" name="OptionButton1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8</xdr:row>
          <xdr:rowOff>22860</xdr:rowOff>
        </xdr:from>
        <xdr:to>
          <xdr:col>1</xdr:col>
          <xdr:colOff>304800</xdr:colOff>
          <xdr:row>8</xdr:row>
          <xdr:rowOff>160020</xdr:rowOff>
        </xdr:to>
        <xdr:sp macro="" textlink="">
          <xdr:nvSpPr>
            <xdr:cNvPr id="1049" name="OptionButton16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8</xdr:row>
          <xdr:rowOff>22860</xdr:rowOff>
        </xdr:from>
        <xdr:to>
          <xdr:col>2</xdr:col>
          <xdr:colOff>312420</xdr:colOff>
          <xdr:row>8</xdr:row>
          <xdr:rowOff>160020</xdr:rowOff>
        </xdr:to>
        <xdr:sp macro="" textlink="">
          <xdr:nvSpPr>
            <xdr:cNvPr id="1050" name="OptionButton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8</xdr:row>
          <xdr:rowOff>22860</xdr:rowOff>
        </xdr:from>
        <xdr:to>
          <xdr:col>3</xdr:col>
          <xdr:colOff>327660</xdr:colOff>
          <xdr:row>8</xdr:row>
          <xdr:rowOff>160020</xdr:rowOff>
        </xdr:to>
        <xdr:sp macro="" textlink="">
          <xdr:nvSpPr>
            <xdr:cNvPr id="1051" name="OptionButton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9</xdr:row>
          <xdr:rowOff>30480</xdr:rowOff>
        </xdr:from>
        <xdr:to>
          <xdr:col>1</xdr:col>
          <xdr:colOff>304800</xdr:colOff>
          <xdr:row>9</xdr:row>
          <xdr:rowOff>167640</xdr:rowOff>
        </xdr:to>
        <xdr:sp macro="" textlink="">
          <xdr:nvSpPr>
            <xdr:cNvPr id="1052" name="OptionButton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9</xdr:row>
          <xdr:rowOff>30480</xdr:rowOff>
        </xdr:from>
        <xdr:to>
          <xdr:col>2</xdr:col>
          <xdr:colOff>312420</xdr:colOff>
          <xdr:row>9</xdr:row>
          <xdr:rowOff>167640</xdr:rowOff>
        </xdr:to>
        <xdr:sp macro="" textlink="">
          <xdr:nvSpPr>
            <xdr:cNvPr id="1053" name="OptionButton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9</xdr:row>
          <xdr:rowOff>30480</xdr:rowOff>
        </xdr:from>
        <xdr:to>
          <xdr:col>3</xdr:col>
          <xdr:colOff>327660</xdr:colOff>
          <xdr:row>9</xdr:row>
          <xdr:rowOff>167640</xdr:rowOff>
        </xdr:to>
        <xdr:sp macro="" textlink="">
          <xdr:nvSpPr>
            <xdr:cNvPr id="1054" name="OptionButton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13</xdr:row>
          <xdr:rowOff>30480</xdr:rowOff>
        </xdr:from>
        <xdr:to>
          <xdr:col>1</xdr:col>
          <xdr:colOff>304800</xdr:colOff>
          <xdr:row>13</xdr:row>
          <xdr:rowOff>167640</xdr:rowOff>
        </xdr:to>
        <xdr:sp macro="" textlink="">
          <xdr:nvSpPr>
            <xdr:cNvPr id="1055" name="OptionButton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13</xdr:row>
          <xdr:rowOff>30480</xdr:rowOff>
        </xdr:from>
        <xdr:to>
          <xdr:col>2</xdr:col>
          <xdr:colOff>312420</xdr:colOff>
          <xdr:row>13</xdr:row>
          <xdr:rowOff>167640</xdr:rowOff>
        </xdr:to>
        <xdr:sp macro="" textlink="">
          <xdr:nvSpPr>
            <xdr:cNvPr id="1056" name="OptionButton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13</xdr:row>
          <xdr:rowOff>30480</xdr:rowOff>
        </xdr:from>
        <xdr:to>
          <xdr:col>3</xdr:col>
          <xdr:colOff>327660</xdr:colOff>
          <xdr:row>13</xdr:row>
          <xdr:rowOff>167640</xdr:rowOff>
        </xdr:to>
        <xdr:sp macro="" textlink="">
          <xdr:nvSpPr>
            <xdr:cNvPr id="1057" name="OptionButton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14</xdr:row>
          <xdr:rowOff>38100</xdr:rowOff>
        </xdr:from>
        <xdr:to>
          <xdr:col>1</xdr:col>
          <xdr:colOff>304800</xdr:colOff>
          <xdr:row>14</xdr:row>
          <xdr:rowOff>175260</xdr:rowOff>
        </xdr:to>
        <xdr:sp macro="" textlink="">
          <xdr:nvSpPr>
            <xdr:cNvPr id="1058" name="OptionButton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14</xdr:row>
          <xdr:rowOff>38100</xdr:rowOff>
        </xdr:from>
        <xdr:to>
          <xdr:col>2</xdr:col>
          <xdr:colOff>312420</xdr:colOff>
          <xdr:row>14</xdr:row>
          <xdr:rowOff>175260</xdr:rowOff>
        </xdr:to>
        <xdr:sp macro="" textlink="">
          <xdr:nvSpPr>
            <xdr:cNvPr id="1059" name="OptionButton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14</xdr:row>
          <xdr:rowOff>38100</xdr:rowOff>
        </xdr:from>
        <xdr:to>
          <xdr:col>3</xdr:col>
          <xdr:colOff>327660</xdr:colOff>
          <xdr:row>14</xdr:row>
          <xdr:rowOff>175260</xdr:rowOff>
        </xdr:to>
        <xdr:sp macro="" textlink="">
          <xdr:nvSpPr>
            <xdr:cNvPr id="1060" name="OptionButton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15</xdr:row>
          <xdr:rowOff>38100</xdr:rowOff>
        </xdr:from>
        <xdr:to>
          <xdr:col>1</xdr:col>
          <xdr:colOff>304800</xdr:colOff>
          <xdr:row>15</xdr:row>
          <xdr:rowOff>175260</xdr:rowOff>
        </xdr:to>
        <xdr:sp macro="" textlink="">
          <xdr:nvSpPr>
            <xdr:cNvPr id="1061" name="OptionButton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15</xdr:row>
          <xdr:rowOff>38100</xdr:rowOff>
        </xdr:from>
        <xdr:to>
          <xdr:col>2</xdr:col>
          <xdr:colOff>312420</xdr:colOff>
          <xdr:row>15</xdr:row>
          <xdr:rowOff>175260</xdr:rowOff>
        </xdr:to>
        <xdr:sp macro="" textlink="">
          <xdr:nvSpPr>
            <xdr:cNvPr id="1062" name="OptionButton2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15</xdr:row>
          <xdr:rowOff>38100</xdr:rowOff>
        </xdr:from>
        <xdr:to>
          <xdr:col>3</xdr:col>
          <xdr:colOff>327660</xdr:colOff>
          <xdr:row>15</xdr:row>
          <xdr:rowOff>175260</xdr:rowOff>
        </xdr:to>
        <xdr:sp macro="" textlink="">
          <xdr:nvSpPr>
            <xdr:cNvPr id="1063" name="OptionButton3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16</xdr:row>
          <xdr:rowOff>30480</xdr:rowOff>
        </xdr:from>
        <xdr:to>
          <xdr:col>1</xdr:col>
          <xdr:colOff>304800</xdr:colOff>
          <xdr:row>16</xdr:row>
          <xdr:rowOff>167640</xdr:rowOff>
        </xdr:to>
        <xdr:sp macro="" textlink="">
          <xdr:nvSpPr>
            <xdr:cNvPr id="1064" name="OptionButton3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16</xdr:row>
          <xdr:rowOff>30480</xdr:rowOff>
        </xdr:from>
        <xdr:to>
          <xdr:col>2</xdr:col>
          <xdr:colOff>312420</xdr:colOff>
          <xdr:row>16</xdr:row>
          <xdr:rowOff>167640</xdr:rowOff>
        </xdr:to>
        <xdr:sp macro="" textlink="">
          <xdr:nvSpPr>
            <xdr:cNvPr id="1065" name="OptionButton3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16</xdr:row>
          <xdr:rowOff>30480</xdr:rowOff>
        </xdr:from>
        <xdr:to>
          <xdr:col>3</xdr:col>
          <xdr:colOff>327660</xdr:colOff>
          <xdr:row>16</xdr:row>
          <xdr:rowOff>167640</xdr:rowOff>
        </xdr:to>
        <xdr:sp macro="" textlink="">
          <xdr:nvSpPr>
            <xdr:cNvPr id="1066" name="OptionButton3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17</xdr:row>
          <xdr:rowOff>30480</xdr:rowOff>
        </xdr:from>
        <xdr:to>
          <xdr:col>1</xdr:col>
          <xdr:colOff>304800</xdr:colOff>
          <xdr:row>17</xdr:row>
          <xdr:rowOff>167640</xdr:rowOff>
        </xdr:to>
        <xdr:sp macro="" textlink="">
          <xdr:nvSpPr>
            <xdr:cNvPr id="1067" name="OptionButton3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17</xdr:row>
          <xdr:rowOff>30480</xdr:rowOff>
        </xdr:from>
        <xdr:to>
          <xdr:col>2</xdr:col>
          <xdr:colOff>312420</xdr:colOff>
          <xdr:row>17</xdr:row>
          <xdr:rowOff>167640</xdr:rowOff>
        </xdr:to>
        <xdr:sp macro="" textlink="">
          <xdr:nvSpPr>
            <xdr:cNvPr id="1068" name="OptionButton3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17</xdr:row>
          <xdr:rowOff>30480</xdr:rowOff>
        </xdr:from>
        <xdr:to>
          <xdr:col>3</xdr:col>
          <xdr:colOff>327660</xdr:colOff>
          <xdr:row>17</xdr:row>
          <xdr:rowOff>167640</xdr:rowOff>
        </xdr:to>
        <xdr:sp macro="" textlink="">
          <xdr:nvSpPr>
            <xdr:cNvPr id="1069" name="OptionButton3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18</xdr:row>
          <xdr:rowOff>30480</xdr:rowOff>
        </xdr:from>
        <xdr:to>
          <xdr:col>1</xdr:col>
          <xdr:colOff>304800</xdr:colOff>
          <xdr:row>18</xdr:row>
          <xdr:rowOff>167640</xdr:rowOff>
        </xdr:to>
        <xdr:sp macro="" textlink="">
          <xdr:nvSpPr>
            <xdr:cNvPr id="1070" name="OptionButton37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18</xdr:row>
          <xdr:rowOff>30480</xdr:rowOff>
        </xdr:from>
        <xdr:to>
          <xdr:col>2</xdr:col>
          <xdr:colOff>312420</xdr:colOff>
          <xdr:row>18</xdr:row>
          <xdr:rowOff>167640</xdr:rowOff>
        </xdr:to>
        <xdr:sp macro="" textlink="">
          <xdr:nvSpPr>
            <xdr:cNvPr id="1071" name="OptionButton38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18</xdr:row>
          <xdr:rowOff>30480</xdr:rowOff>
        </xdr:from>
        <xdr:to>
          <xdr:col>3</xdr:col>
          <xdr:colOff>327660</xdr:colOff>
          <xdr:row>18</xdr:row>
          <xdr:rowOff>167640</xdr:rowOff>
        </xdr:to>
        <xdr:sp macro="" textlink="">
          <xdr:nvSpPr>
            <xdr:cNvPr id="1072" name="OptionButton39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19</xdr:row>
          <xdr:rowOff>38100</xdr:rowOff>
        </xdr:from>
        <xdr:to>
          <xdr:col>1</xdr:col>
          <xdr:colOff>304800</xdr:colOff>
          <xdr:row>19</xdr:row>
          <xdr:rowOff>175260</xdr:rowOff>
        </xdr:to>
        <xdr:sp macro="" textlink="">
          <xdr:nvSpPr>
            <xdr:cNvPr id="1073" name="OptionButton40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19</xdr:row>
          <xdr:rowOff>38100</xdr:rowOff>
        </xdr:from>
        <xdr:to>
          <xdr:col>2</xdr:col>
          <xdr:colOff>312420</xdr:colOff>
          <xdr:row>19</xdr:row>
          <xdr:rowOff>175260</xdr:rowOff>
        </xdr:to>
        <xdr:sp macro="" textlink="">
          <xdr:nvSpPr>
            <xdr:cNvPr id="1074" name="OptionButton41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19</xdr:row>
          <xdr:rowOff>38100</xdr:rowOff>
        </xdr:from>
        <xdr:to>
          <xdr:col>3</xdr:col>
          <xdr:colOff>327660</xdr:colOff>
          <xdr:row>19</xdr:row>
          <xdr:rowOff>175260</xdr:rowOff>
        </xdr:to>
        <xdr:sp macro="" textlink="">
          <xdr:nvSpPr>
            <xdr:cNvPr id="1075" name="OptionButton4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38100</xdr:rowOff>
        </xdr:from>
        <xdr:to>
          <xdr:col>1</xdr:col>
          <xdr:colOff>304800</xdr:colOff>
          <xdr:row>20</xdr:row>
          <xdr:rowOff>175260</xdr:rowOff>
        </xdr:to>
        <xdr:sp macro="" textlink="">
          <xdr:nvSpPr>
            <xdr:cNvPr id="1076" name="OptionButton43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20</xdr:row>
          <xdr:rowOff>38100</xdr:rowOff>
        </xdr:from>
        <xdr:to>
          <xdr:col>2</xdr:col>
          <xdr:colOff>312420</xdr:colOff>
          <xdr:row>20</xdr:row>
          <xdr:rowOff>175260</xdr:rowOff>
        </xdr:to>
        <xdr:sp macro="" textlink="">
          <xdr:nvSpPr>
            <xdr:cNvPr id="1077" name="OptionButton44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20</xdr:row>
          <xdr:rowOff>38100</xdr:rowOff>
        </xdr:from>
        <xdr:to>
          <xdr:col>3</xdr:col>
          <xdr:colOff>327660</xdr:colOff>
          <xdr:row>20</xdr:row>
          <xdr:rowOff>175260</xdr:rowOff>
        </xdr:to>
        <xdr:sp macro="" textlink="">
          <xdr:nvSpPr>
            <xdr:cNvPr id="1078" name="OptionButton45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21</xdr:row>
          <xdr:rowOff>30480</xdr:rowOff>
        </xdr:from>
        <xdr:to>
          <xdr:col>1</xdr:col>
          <xdr:colOff>304800</xdr:colOff>
          <xdr:row>21</xdr:row>
          <xdr:rowOff>167640</xdr:rowOff>
        </xdr:to>
        <xdr:sp macro="" textlink="">
          <xdr:nvSpPr>
            <xdr:cNvPr id="1079" name="OptionButton46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21</xdr:row>
          <xdr:rowOff>30480</xdr:rowOff>
        </xdr:from>
        <xdr:to>
          <xdr:col>2</xdr:col>
          <xdr:colOff>312420</xdr:colOff>
          <xdr:row>21</xdr:row>
          <xdr:rowOff>167640</xdr:rowOff>
        </xdr:to>
        <xdr:sp macro="" textlink="">
          <xdr:nvSpPr>
            <xdr:cNvPr id="1080" name="OptionButton47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21</xdr:row>
          <xdr:rowOff>30480</xdr:rowOff>
        </xdr:from>
        <xdr:to>
          <xdr:col>3</xdr:col>
          <xdr:colOff>327660</xdr:colOff>
          <xdr:row>21</xdr:row>
          <xdr:rowOff>167640</xdr:rowOff>
        </xdr:to>
        <xdr:sp macro="" textlink="">
          <xdr:nvSpPr>
            <xdr:cNvPr id="1081" name="OptionButton48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10</xdr:row>
          <xdr:rowOff>38100</xdr:rowOff>
        </xdr:from>
        <xdr:to>
          <xdr:col>1</xdr:col>
          <xdr:colOff>304800</xdr:colOff>
          <xdr:row>10</xdr:row>
          <xdr:rowOff>175260</xdr:rowOff>
        </xdr:to>
        <xdr:sp macro="" textlink="">
          <xdr:nvSpPr>
            <xdr:cNvPr id="1085" name="OptionButton49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10</xdr:row>
          <xdr:rowOff>38100</xdr:rowOff>
        </xdr:from>
        <xdr:to>
          <xdr:col>2</xdr:col>
          <xdr:colOff>312420</xdr:colOff>
          <xdr:row>10</xdr:row>
          <xdr:rowOff>175260</xdr:rowOff>
        </xdr:to>
        <xdr:sp macro="" textlink="">
          <xdr:nvSpPr>
            <xdr:cNvPr id="1086" name="OptionButton50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10</xdr:row>
          <xdr:rowOff>38100</xdr:rowOff>
        </xdr:from>
        <xdr:to>
          <xdr:col>3</xdr:col>
          <xdr:colOff>327660</xdr:colOff>
          <xdr:row>10</xdr:row>
          <xdr:rowOff>175260</xdr:rowOff>
        </xdr:to>
        <xdr:sp macro="" textlink="">
          <xdr:nvSpPr>
            <xdr:cNvPr id="1087" name="OptionButton51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11</xdr:row>
          <xdr:rowOff>38100</xdr:rowOff>
        </xdr:from>
        <xdr:to>
          <xdr:col>1</xdr:col>
          <xdr:colOff>304800</xdr:colOff>
          <xdr:row>11</xdr:row>
          <xdr:rowOff>175260</xdr:rowOff>
        </xdr:to>
        <xdr:sp macro="" textlink="">
          <xdr:nvSpPr>
            <xdr:cNvPr id="1088" name="OptionButton52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11</xdr:row>
          <xdr:rowOff>38100</xdr:rowOff>
        </xdr:from>
        <xdr:to>
          <xdr:col>2</xdr:col>
          <xdr:colOff>312420</xdr:colOff>
          <xdr:row>11</xdr:row>
          <xdr:rowOff>175260</xdr:rowOff>
        </xdr:to>
        <xdr:sp macro="" textlink="">
          <xdr:nvSpPr>
            <xdr:cNvPr id="1089" name="OptionButton53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11</xdr:row>
          <xdr:rowOff>38100</xdr:rowOff>
        </xdr:from>
        <xdr:to>
          <xdr:col>3</xdr:col>
          <xdr:colOff>327660</xdr:colOff>
          <xdr:row>11</xdr:row>
          <xdr:rowOff>175260</xdr:rowOff>
        </xdr:to>
        <xdr:sp macro="" textlink="">
          <xdr:nvSpPr>
            <xdr:cNvPr id="1090" name="OptionButton54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</xdr:colOff>
      <xdr:row>3</xdr:row>
      <xdr:rowOff>68580</xdr:rowOff>
    </xdr:from>
    <xdr:to>
      <xdr:col>11</xdr:col>
      <xdr:colOff>4853939</xdr:colOff>
      <xdr:row>17</xdr:row>
      <xdr:rowOff>26325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30540" y="982980"/>
          <a:ext cx="4846319" cy="27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ntrol" Target="../activeX/activeX36.xml"/><Relationship Id="rId47" Type="http://schemas.openxmlformats.org/officeDocument/2006/relationships/control" Target="../activeX/activeX41.xml"/><Relationship Id="rId50" Type="http://schemas.openxmlformats.org/officeDocument/2006/relationships/control" Target="../activeX/activeX44.xml"/><Relationship Id="rId55" Type="http://schemas.openxmlformats.org/officeDocument/2006/relationships/control" Target="../activeX/activeX49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46" Type="http://schemas.openxmlformats.org/officeDocument/2006/relationships/control" Target="../activeX/activeX40.xml"/><Relationship Id="rId59" Type="http://schemas.openxmlformats.org/officeDocument/2006/relationships/control" Target="../activeX/activeX5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54" Type="http://schemas.openxmlformats.org/officeDocument/2006/relationships/control" Target="../activeX/activeX4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45" Type="http://schemas.openxmlformats.org/officeDocument/2006/relationships/control" Target="../activeX/activeX39.xml"/><Relationship Id="rId53" Type="http://schemas.openxmlformats.org/officeDocument/2006/relationships/control" Target="../activeX/activeX47.xml"/><Relationship Id="rId58" Type="http://schemas.openxmlformats.org/officeDocument/2006/relationships/control" Target="../activeX/activeX52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49" Type="http://schemas.openxmlformats.org/officeDocument/2006/relationships/control" Target="../activeX/activeX43.xml"/><Relationship Id="rId57" Type="http://schemas.openxmlformats.org/officeDocument/2006/relationships/control" Target="../activeX/activeX51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4" Type="http://schemas.openxmlformats.org/officeDocument/2006/relationships/control" Target="../activeX/activeX38.xml"/><Relationship Id="rId52" Type="http://schemas.openxmlformats.org/officeDocument/2006/relationships/control" Target="../activeX/activeX46.xml"/><Relationship Id="rId60" Type="http://schemas.openxmlformats.org/officeDocument/2006/relationships/control" Target="../activeX/activeX5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Relationship Id="rId43" Type="http://schemas.openxmlformats.org/officeDocument/2006/relationships/control" Target="../activeX/activeX37.xml"/><Relationship Id="rId48" Type="http://schemas.openxmlformats.org/officeDocument/2006/relationships/control" Target="../activeX/activeX42.xml"/><Relationship Id="rId56" Type="http://schemas.openxmlformats.org/officeDocument/2006/relationships/control" Target="../activeX/activeX5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idacticaselectronicas.com/index.php/cnc-e-impresoras-3d/rodamientos/rodamiento-623zz-balinera-rueda-detail" TargetMode="External"/><Relationship Id="rId13" Type="http://schemas.openxmlformats.org/officeDocument/2006/relationships/hyperlink" Target="https://articulo.mercadolibre.com.co/MCO-531125661-motor-paso-a-paso-nema-17-bipolar-cnc-arduino-robotica-x4-_JM" TargetMode="External"/><Relationship Id="rId18" Type="http://schemas.openxmlformats.org/officeDocument/2006/relationships/hyperlink" Target="https://www.didacticaselectronicas.com/index.php/fuentes-adaptadores/fuentes-fijas/12v/fuente-suicheada-12v-10a-120w-swicheada-voltaje-poder-detail" TargetMode="External"/><Relationship Id="rId26" Type="http://schemas.openxmlformats.org/officeDocument/2006/relationships/hyperlink" Target="https://www.didacticaselectronicas.com/index.php/cnc-e-impresoras-3d/platos-y-calefactores/plato-caliente-mk2b,-cama-caliente-cuadrada-para-impresora-3d-mk2b-200-dual-anycubic-detail" TargetMode="External"/><Relationship Id="rId3" Type="http://schemas.openxmlformats.org/officeDocument/2006/relationships/hyperlink" Target="https://www.didacticaselectronicas.com/index.php/cnc-e-impresoras-3d/sincronismo/correa-de-distribuci%C3%B3n-abierta-de-6mm-de-ancho-2gt-6-1m-a-gt2-anycubic-banda-polea-dentada-detail" TargetMode="External"/><Relationship Id="rId21" Type="http://schemas.openxmlformats.org/officeDocument/2006/relationships/hyperlink" Target="https://listado.mercadolibre.com.co/final-carrera-optico" TargetMode="External"/><Relationship Id="rId7" Type="http://schemas.openxmlformats.org/officeDocument/2006/relationships/hyperlink" Target="https://www.didacticaselectronicas.com/index.php/cnc-e-impresoras-3d/estructura/eje-roscado,-t8-varilla-trapezoidal-roscada-300mm-anycubic-cnc-detail" TargetMode="External"/><Relationship Id="rId12" Type="http://schemas.openxmlformats.org/officeDocument/2006/relationships/hyperlink" Target="https://www.didacticaselectronicas.com/index.php/robotica/controladores-1/tarjeta-controlador-controladores-driver-drivers-motor-paso-a-paso-control-stepper-a4988-detail" TargetMode="External"/><Relationship Id="rId17" Type="http://schemas.openxmlformats.org/officeDocument/2006/relationships/hyperlink" Target="84000" TargetMode="External"/><Relationship Id="rId25" Type="http://schemas.openxmlformats.org/officeDocument/2006/relationships/hyperlink" Target="https://www.didacticaselectronicas.com/index.php/cnc-e-impresoras-3d/radiadores-y-ventiladores/ventilador-soplador-12v,-70ma,-40mm-x-40mm-x-20mm-vent-sop-40x40x20-anycubic-fan-detail" TargetMode="External"/><Relationship Id="rId33" Type="http://schemas.openxmlformats.org/officeDocument/2006/relationships/printerSettings" Target="../printerSettings/printerSettings2.bin"/><Relationship Id="rId2" Type="http://schemas.openxmlformats.org/officeDocument/2006/relationships/hyperlink" Target="https://www.didacticaselectronicas.com/index.php/cnc-e-impresoras-3d/estructura/tuerca-t8-2mm-x-8mm-paa-varilla-trapezoidal-impresora-3d-tuerca-t8-anycubic-cnc-roscada-detail" TargetMode="External"/><Relationship Id="rId16" Type="http://schemas.openxmlformats.org/officeDocument/2006/relationships/hyperlink" Target="https://www.didacticaselectronicas.com/index.php/cnc-e-impresoras-3d/controladores-cnc-y-3d/controlador-motor-paso-a-paso-tmc2208-controlador,-driver,-control,-motor-paso-paso-step-dir-detail" TargetMode="External"/><Relationship Id="rId20" Type="http://schemas.openxmlformats.org/officeDocument/2006/relationships/hyperlink" Target="https://www.didacticaselectronicas.com/index.php/fuentes-adaptadores/fuentes-fijas/12v/fuente-suicheada-12v-30a-3600w-fija-alimentaci%C3%B3n-poder-voltaje-detail" TargetMode="External"/><Relationship Id="rId29" Type="http://schemas.openxmlformats.org/officeDocument/2006/relationships/hyperlink" Target="https://www.didacticaselectronicas.com/index.php/cnc-e-impresoras-3d/rodamientos/rodamiento-lineal-largo-8mm-balinera-lm8uu-detail" TargetMode="External"/><Relationship Id="rId1" Type="http://schemas.openxmlformats.org/officeDocument/2006/relationships/hyperlink" Target="https://www.didacticaselectronicas.com/index.php/cnc-e-impresoras-3d/acoples-para-motor/acople-para-motor-5mm-x-8mm-x-25mm-acople-5x8x25-eje-detail" TargetMode="External"/><Relationship Id="rId6" Type="http://schemas.openxmlformats.org/officeDocument/2006/relationships/hyperlink" Target="https://articulo.mercadolibre.com.co/MCO-527261841-varilla-lisa-eje-8mm-x-30-cm-acero-plata-printed-3d-o-cnc-_JM" TargetMode="External"/><Relationship Id="rId11" Type="http://schemas.openxmlformats.org/officeDocument/2006/relationships/hyperlink" Target="https://www.didacticaselectronicas.com/index.php/cnc-e-impresoras-3d/controladores-cnc-y-3d/tarjeta-de-control-mks-gen-v1-4-pcb-mks-gen-v1-4-controladora-impresora-3d-ramps-1-4-detail" TargetMode="External"/><Relationship Id="rId24" Type="http://schemas.openxmlformats.org/officeDocument/2006/relationships/hyperlink" Target="https://www.didacticaselectronicas.com/index.php/cnc-e-impresoras-3d/radiadores-y-ventiladores/ventilador-12v,-65ma,-40mm-x-40mm-x-10mm-vent-40x40x10-anycubic-fan-detail" TargetMode="External"/><Relationship Id="rId32" Type="http://schemas.openxmlformats.org/officeDocument/2006/relationships/hyperlink" Target="https://www.didacticaselectronicas.com/index.php/cables/ribbon/cable-gris-ribbon-plano-de-20-hilos-cable-flat-20-cable-para-datos,-awg-28-dupont-detail" TargetMode="External"/><Relationship Id="rId5" Type="http://schemas.openxmlformats.org/officeDocument/2006/relationships/hyperlink" Target="https://www.didacticaselectronicas.com/index.php/cnc-e-impresoras-3d/poleas-y-engranajes/polea-2gt-de-sincronismo-de-16-dientes-2gt-8-16-5mm-gt2-detail" TargetMode="External"/><Relationship Id="rId15" Type="http://schemas.openxmlformats.org/officeDocument/2006/relationships/hyperlink" Target="https://articulo.mercadolibre.com.co/MCO-456634264-modulo-drv8825-driver-motor-paso-a-paso-_JM" TargetMode="External"/><Relationship Id="rId23" Type="http://schemas.openxmlformats.org/officeDocument/2006/relationships/hyperlink" Target="https://www.didacticaselectronicas.com/index.php/suiches-y-conectores/suiches/micro-suiche/micro-suiche,-microsuiche,-suiche,-kw4-z1f150-8066-detail" TargetMode="External"/><Relationship Id="rId28" Type="http://schemas.openxmlformats.org/officeDocument/2006/relationships/hyperlink" Target="https://www.didacticaselectronicas.com/index.php/cnc-e-impresoras-3d/controladores-cnc-y-3d/lcd-12864-ramps-1-4-para-controlador-de-impresora-3d-12864-ramps-1-4-anycubic-kossel-prusa-detail" TargetMode="External"/><Relationship Id="rId10" Type="http://schemas.openxmlformats.org/officeDocument/2006/relationships/hyperlink" Target="https://www.didacticaselectronicas.com/index.php/cnc-e-impresoras-3d/poleas-y-engranajes/polea-pasiva-2gt-de-sincronismo-de-20-dientes,-5mm-rueda-h-2gt-8-20-5mm-b-gt2-detail" TargetMode="External"/><Relationship Id="rId19" Type="http://schemas.openxmlformats.org/officeDocument/2006/relationships/hyperlink" Target="https://www.didacticaselectronicas.com/index.php/fuentes-adaptadores/fuentes-fijas/12v/fuente-suicheada-12v-20a-240w-swicheada-voltaje-poder-detail" TargetMode="External"/><Relationship Id="rId31" Type="http://schemas.openxmlformats.org/officeDocument/2006/relationships/hyperlink" Target="https://www.didacticaselectronicas.com/index.php/cnc-e-impresoras-3d/rodamientos/openbuilds,-open-builds-27-detail" TargetMode="External"/><Relationship Id="rId4" Type="http://schemas.openxmlformats.org/officeDocument/2006/relationships/hyperlink" Target="https://www.didacticaselectronicas.com/index.php/cnc-e-impresoras-3d/poleas-y-engranajes/polea-2gt-de-sincronismo-de-20-dientes-2gt-9-20-5mm-gt2-gt2-detail" TargetMode="External"/><Relationship Id="rId9" Type="http://schemas.openxmlformats.org/officeDocument/2006/relationships/hyperlink" Target="https://www.didacticaselectronicas.com/index.php/cnc-e-impresoras-3d/poleas-y-engranajes/gt2-polea-pasiva-lisa-2gt-de-sincr-20-dientes,-5mm-detail" TargetMode="External"/><Relationship Id="rId14" Type="http://schemas.openxmlformats.org/officeDocument/2006/relationships/hyperlink" Target="https://www.didacticaselectronicas.com/index.php/cnc-e-impresoras-3d/motores-cnc-y-3d/motor-paso-a-paso-nema-17-42hs34-0404-h%C3%ADbrido-0-4a-step-step-stepper-detail" TargetMode="External"/><Relationship Id="rId22" Type="http://schemas.openxmlformats.org/officeDocument/2006/relationships/hyperlink" Target="https://www.didacticaselectronicas.com/index.php/sensores/contacto-y-choque/sensor-de-choque-endstop-end-stop-final-de-carrera-colisi%C3%B3n-2138-detail" TargetMode="External"/><Relationship Id="rId27" Type="http://schemas.openxmlformats.org/officeDocument/2006/relationships/hyperlink" Target="https://www.didacticaselectronicas.com/index.php/cnc-e-impresoras-3d/controladores-cnc-y-3d/lcd-2004-ramps-1-4-para-controlador-de-impresora-3d-lcd2004-ramps-1-4-anycubic-kossel-prusa-detail" TargetMode="External"/><Relationship Id="rId30" Type="http://schemas.openxmlformats.org/officeDocument/2006/relationships/hyperlink" Target="https://www.didacticaselectronicas.com/index.php/cnc-e-impresoras-3d/rodamientos/rodamiento-pl%C3%A1stico-solido-para-eje-8mm-detai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A60A3-254C-4B28-9683-2A3EBF930BB3}">
  <sheetPr codeName="Hoja1"/>
  <dimension ref="A1:M31"/>
  <sheetViews>
    <sheetView tabSelected="1" workbookViewId="0">
      <selection activeCell="K17" sqref="K17"/>
    </sheetView>
  </sheetViews>
  <sheetFormatPr baseColWidth="10" defaultRowHeight="14.4" x14ac:dyDescent="0.3"/>
  <cols>
    <col min="1" max="1" width="16.33203125" customWidth="1"/>
    <col min="2" max="2" width="4.77734375" customWidth="1"/>
    <col min="3" max="3" width="5.109375" customWidth="1"/>
    <col min="4" max="4" width="5.21875" customWidth="1"/>
    <col min="5" max="5" width="38.5546875" customWidth="1"/>
    <col min="6" max="6" width="16.44140625" style="31" customWidth="1"/>
    <col min="7" max="7" width="4.21875" customWidth="1"/>
    <col min="8" max="8" width="4.5546875" customWidth="1"/>
    <col min="9" max="9" width="12.44140625" style="31" bestFit="1" customWidth="1"/>
    <col min="11" max="11" width="16.77734375" customWidth="1"/>
  </cols>
  <sheetData>
    <row r="1" spans="1:13" ht="24" customHeight="1" x14ac:dyDescent="0.3">
      <c r="A1" s="85" t="s">
        <v>177</v>
      </c>
      <c r="B1" s="85"/>
      <c r="C1" s="85"/>
      <c r="D1" s="85"/>
      <c r="E1" s="85"/>
      <c r="F1" s="85"/>
      <c r="G1" s="85"/>
      <c r="H1" s="85"/>
      <c r="I1" s="85"/>
      <c r="K1" s="85" t="s">
        <v>125</v>
      </c>
      <c r="L1" s="85"/>
    </row>
    <row r="2" spans="1:13" x14ac:dyDescent="0.3">
      <c r="A2" s="35" t="s">
        <v>65</v>
      </c>
      <c r="B2" s="35" t="s">
        <v>62</v>
      </c>
      <c r="C2" s="35" t="s">
        <v>63</v>
      </c>
      <c r="D2" s="35" t="s">
        <v>64</v>
      </c>
      <c r="E2" s="35" t="s">
        <v>67</v>
      </c>
      <c r="F2" s="37" t="s">
        <v>113</v>
      </c>
      <c r="G2" s="88" t="s">
        <v>6</v>
      </c>
      <c r="H2" s="88"/>
      <c r="I2" s="37" t="s">
        <v>68</v>
      </c>
      <c r="K2" s="50" t="s">
        <v>67</v>
      </c>
      <c r="L2" s="50" t="s">
        <v>126</v>
      </c>
    </row>
    <row r="3" spans="1:13" x14ac:dyDescent="0.3">
      <c r="A3" s="87" t="s">
        <v>66</v>
      </c>
      <c r="B3" s="87"/>
      <c r="C3" s="87"/>
      <c r="D3" s="87"/>
      <c r="E3" s="87"/>
      <c r="F3" s="87"/>
      <c r="G3" s="87"/>
      <c r="H3" s="87"/>
      <c r="I3" s="32">
        <f>SUM(I4:I12)</f>
        <v>159800</v>
      </c>
      <c r="K3" s="29" t="s">
        <v>128</v>
      </c>
      <c r="L3" s="30">
        <f>I3</f>
        <v>159800</v>
      </c>
    </row>
    <row r="4" spans="1:13" x14ac:dyDescent="0.3">
      <c r="A4" s="29" t="s">
        <v>69</v>
      </c>
      <c r="B4" s="29"/>
      <c r="C4" s="29"/>
      <c r="D4" s="29"/>
      <c r="E4" s="29" t="s">
        <v>47</v>
      </c>
      <c r="F4" s="30">
        <v>5400</v>
      </c>
      <c r="G4" s="29">
        <v>2</v>
      </c>
      <c r="H4" s="29" t="s">
        <v>75</v>
      </c>
      <c r="I4" s="30">
        <f>(F4*G4)</f>
        <v>10800</v>
      </c>
      <c r="K4" s="29" t="s">
        <v>79</v>
      </c>
      <c r="L4" s="30">
        <f>I13</f>
        <v>356500</v>
      </c>
    </row>
    <row r="5" spans="1:13" x14ac:dyDescent="0.3">
      <c r="A5" s="29" t="s">
        <v>71</v>
      </c>
      <c r="B5" s="29"/>
      <c r="C5" s="29"/>
      <c r="D5" s="29"/>
      <c r="E5" s="29" t="s">
        <v>44</v>
      </c>
      <c r="F5" s="30">
        <v>4800</v>
      </c>
      <c r="G5" s="29">
        <v>2</v>
      </c>
      <c r="H5" s="29" t="s">
        <v>75</v>
      </c>
      <c r="I5" s="30">
        <f t="shared" ref="I5:I12" si="0">(F5*G5)</f>
        <v>9600</v>
      </c>
      <c r="K5" s="29" t="s">
        <v>129</v>
      </c>
      <c r="L5" s="30">
        <f>Marco!C8</f>
        <v>45600</v>
      </c>
      <c r="M5" t="s">
        <v>139</v>
      </c>
    </row>
    <row r="6" spans="1:13" x14ac:dyDescent="0.3">
      <c r="A6" s="29" t="s">
        <v>70</v>
      </c>
      <c r="B6" s="29"/>
      <c r="C6" s="29"/>
      <c r="D6" s="29"/>
      <c r="E6" s="29" t="s">
        <v>49</v>
      </c>
      <c r="F6" s="30">
        <v>5500</v>
      </c>
      <c r="G6" s="29">
        <v>2</v>
      </c>
      <c r="H6" s="29" t="s">
        <v>76</v>
      </c>
      <c r="I6" s="30">
        <f t="shared" si="0"/>
        <v>11000</v>
      </c>
      <c r="K6" s="29" t="s">
        <v>141</v>
      </c>
      <c r="L6" s="30">
        <f>+'Partes 3D'!G17</f>
        <v>17228.720503221524</v>
      </c>
      <c r="M6" t="s">
        <v>142</v>
      </c>
    </row>
    <row r="7" spans="1:13" x14ac:dyDescent="0.3">
      <c r="A7" s="29" t="s">
        <v>56</v>
      </c>
      <c r="B7" s="29"/>
      <c r="C7" s="29"/>
      <c r="D7" s="29"/>
      <c r="E7" s="29" t="s">
        <v>51</v>
      </c>
      <c r="F7" s="30">
        <v>4000</v>
      </c>
      <c r="G7" s="29">
        <v>2</v>
      </c>
      <c r="H7" s="29" t="s">
        <v>75</v>
      </c>
      <c r="I7" s="30">
        <f t="shared" si="0"/>
        <v>8000</v>
      </c>
      <c r="K7" s="29" t="s">
        <v>131</v>
      </c>
      <c r="L7" s="51">
        <f>Tornillos!I12</f>
        <v>14000</v>
      </c>
      <c r="M7" t="s">
        <v>140</v>
      </c>
    </row>
    <row r="8" spans="1:13" x14ac:dyDescent="0.3">
      <c r="A8" s="29" t="s">
        <v>72</v>
      </c>
      <c r="B8" s="29"/>
      <c r="C8" s="29"/>
      <c r="D8" s="29"/>
      <c r="E8" s="29" t="s">
        <v>54</v>
      </c>
      <c r="F8" s="30">
        <v>5000</v>
      </c>
      <c r="G8" s="29">
        <v>6</v>
      </c>
      <c r="H8" s="29" t="s">
        <v>75</v>
      </c>
      <c r="I8" s="30">
        <f t="shared" si="0"/>
        <v>30000</v>
      </c>
      <c r="K8" s="29" t="s">
        <v>147</v>
      </c>
      <c r="L8" s="51">
        <f>I23</f>
        <v>11600</v>
      </c>
    </row>
    <row r="9" spans="1:13" x14ac:dyDescent="0.3">
      <c r="A9" s="29" t="s">
        <v>73</v>
      </c>
      <c r="B9" s="29"/>
      <c r="C9" s="29"/>
      <c r="D9" s="29"/>
      <c r="E9" s="29" t="s">
        <v>61</v>
      </c>
      <c r="F9" s="30">
        <v>22000</v>
      </c>
      <c r="G9" s="29">
        <v>2</v>
      </c>
      <c r="H9" s="29" t="s">
        <v>75</v>
      </c>
      <c r="I9" s="30">
        <f t="shared" si="0"/>
        <v>44000</v>
      </c>
      <c r="K9" s="52" t="s">
        <v>130</v>
      </c>
      <c r="L9" s="60">
        <f>SUM(L3:L8)</f>
        <v>604728.7205032215</v>
      </c>
    </row>
    <row r="10" spans="1:13" x14ac:dyDescent="0.3">
      <c r="A10" s="29" t="s">
        <v>74</v>
      </c>
      <c r="B10" s="29"/>
      <c r="C10" s="29"/>
      <c r="D10" s="29"/>
      <c r="E10" s="29" t="s">
        <v>58</v>
      </c>
      <c r="F10" s="30">
        <v>1600</v>
      </c>
      <c r="G10" s="29">
        <v>2</v>
      </c>
      <c r="H10" s="29" t="s">
        <v>75</v>
      </c>
      <c r="I10" s="30">
        <f t="shared" si="0"/>
        <v>3200</v>
      </c>
    </row>
    <row r="11" spans="1:13" x14ac:dyDescent="0.3">
      <c r="A11" s="29" t="s">
        <v>123</v>
      </c>
      <c r="B11" s="29"/>
      <c r="C11" s="29"/>
      <c r="D11" s="29"/>
      <c r="E11" s="29" t="s">
        <v>119</v>
      </c>
      <c r="F11" s="30">
        <v>3600</v>
      </c>
      <c r="G11" s="29">
        <v>12</v>
      </c>
      <c r="H11" s="29" t="s">
        <v>75</v>
      </c>
      <c r="I11" s="30">
        <f>(F11*G11)</f>
        <v>43200</v>
      </c>
    </row>
    <row r="12" spans="1:13" x14ac:dyDescent="0.3">
      <c r="A12" s="29" t="s">
        <v>124</v>
      </c>
      <c r="B12" s="29"/>
      <c r="C12" s="29"/>
      <c r="D12" s="29"/>
      <c r="E12" s="29" t="s">
        <v>120</v>
      </c>
      <c r="F12" s="30">
        <v>0</v>
      </c>
      <c r="G12" s="29">
        <v>2</v>
      </c>
      <c r="H12" s="29" t="s">
        <v>75</v>
      </c>
      <c r="I12" s="30">
        <f t="shared" si="0"/>
        <v>0</v>
      </c>
      <c r="K12" t="s">
        <v>178</v>
      </c>
    </row>
    <row r="13" spans="1:13" x14ac:dyDescent="0.3">
      <c r="A13" s="86" t="s">
        <v>79</v>
      </c>
      <c r="B13" s="89"/>
      <c r="C13" s="89"/>
      <c r="D13" s="89"/>
      <c r="E13" s="89"/>
      <c r="F13" s="89"/>
      <c r="G13" s="89"/>
      <c r="H13" s="89"/>
      <c r="I13" s="40">
        <f>SUM(I14:I22)</f>
        <v>356500</v>
      </c>
      <c r="K13" s="112" t="s">
        <v>179</v>
      </c>
    </row>
    <row r="14" spans="1:13" x14ac:dyDescent="0.3">
      <c r="A14" s="29" t="s">
        <v>81</v>
      </c>
      <c r="B14" s="29"/>
      <c r="C14" s="29"/>
      <c r="D14" s="29"/>
      <c r="E14" s="29" t="s">
        <v>109</v>
      </c>
      <c r="F14" s="30">
        <v>60000</v>
      </c>
      <c r="G14" s="29">
        <v>1</v>
      </c>
      <c r="H14" s="29" t="s">
        <v>75</v>
      </c>
      <c r="I14" s="30">
        <f>F14*G14</f>
        <v>60000</v>
      </c>
    </row>
    <row r="15" spans="1:13" x14ac:dyDescent="0.3">
      <c r="A15" s="29" t="s">
        <v>111</v>
      </c>
      <c r="B15" s="29"/>
      <c r="C15" s="29"/>
      <c r="D15" s="29"/>
      <c r="E15" s="29" t="s">
        <v>86</v>
      </c>
      <c r="F15" s="30">
        <v>7600</v>
      </c>
      <c r="G15" s="29">
        <v>5</v>
      </c>
      <c r="H15" s="29" t="s">
        <v>75</v>
      </c>
      <c r="I15" s="30">
        <f t="shared" ref="I15:I21" si="1">F15*G15</f>
        <v>38000</v>
      </c>
    </row>
    <row r="16" spans="1:13" x14ac:dyDescent="0.3">
      <c r="A16" s="29" t="s">
        <v>84</v>
      </c>
      <c r="B16" s="29"/>
      <c r="C16" s="29"/>
      <c r="D16" s="29"/>
      <c r="E16" s="29" t="s">
        <v>93</v>
      </c>
      <c r="F16" s="30">
        <v>20000</v>
      </c>
      <c r="G16" s="29">
        <v>4</v>
      </c>
      <c r="H16" s="29" t="s">
        <v>75</v>
      </c>
      <c r="I16" s="30">
        <f t="shared" si="1"/>
        <v>80000</v>
      </c>
    </row>
    <row r="17" spans="1:9" x14ac:dyDescent="0.3">
      <c r="A17" s="29" t="s">
        <v>85</v>
      </c>
      <c r="B17" s="29"/>
      <c r="C17" s="29"/>
      <c r="D17" s="29"/>
      <c r="E17" s="29" t="s">
        <v>92</v>
      </c>
      <c r="F17" s="30">
        <v>90000</v>
      </c>
      <c r="G17" s="29">
        <v>1</v>
      </c>
      <c r="H17" s="29" t="s">
        <v>75</v>
      </c>
      <c r="I17" s="30">
        <f>F17*G17</f>
        <v>90000</v>
      </c>
    </row>
    <row r="18" spans="1:9" x14ac:dyDescent="0.3">
      <c r="A18" s="29" t="s">
        <v>87</v>
      </c>
      <c r="B18" s="29"/>
      <c r="C18" s="29"/>
      <c r="D18" s="29"/>
      <c r="E18" s="29" t="s">
        <v>121</v>
      </c>
      <c r="F18" s="30">
        <v>35400</v>
      </c>
      <c r="G18" s="29">
        <v>1</v>
      </c>
      <c r="H18" s="29" t="s">
        <v>75</v>
      </c>
      <c r="I18" s="30">
        <f t="shared" si="1"/>
        <v>35400</v>
      </c>
    </row>
    <row r="19" spans="1:9" x14ac:dyDescent="0.3">
      <c r="A19" s="29" t="s">
        <v>112</v>
      </c>
      <c r="B19" s="29"/>
      <c r="C19" s="29"/>
      <c r="D19" s="29"/>
      <c r="E19" s="29" t="s">
        <v>98</v>
      </c>
      <c r="F19" s="30">
        <v>3800</v>
      </c>
      <c r="G19" s="29">
        <v>1</v>
      </c>
      <c r="H19" s="29" t="s">
        <v>75</v>
      </c>
      <c r="I19" s="30">
        <f t="shared" si="1"/>
        <v>3800</v>
      </c>
    </row>
    <row r="20" spans="1:9" x14ac:dyDescent="0.3">
      <c r="A20" s="29" t="s">
        <v>100</v>
      </c>
      <c r="B20" s="29"/>
      <c r="C20" s="29"/>
      <c r="D20" s="29"/>
      <c r="E20" s="29" t="s">
        <v>114</v>
      </c>
      <c r="F20" s="30">
        <v>700</v>
      </c>
      <c r="G20" s="29">
        <v>3</v>
      </c>
      <c r="H20" s="29" t="s">
        <v>75</v>
      </c>
      <c r="I20" s="30">
        <f t="shared" si="1"/>
        <v>2100</v>
      </c>
    </row>
    <row r="21" spans="1:9" x14ac:dyDescent="0.3">
      <c r="A21" s="29" t="s">
        <v>103</v>
      </c>
      <c r="B21" s="29"/>
      <c r="C21" s="29"/>
      <c r="D21" s="29"/>
      <c r="E21" s="29" t="s">
        <v>104</v>
      </c>
      <c r="F21" s="30">
        <v>47200</v>
      </c>
      <c r="G21" s="29">
        <v>1</v>
      </c>
      <c r="H21" s="29" t="s">
        <v>75</v>
      </c>
      <c r="I21" s="30">
        <f t="shared" si="1"/>
        <v>47200</v>
      </c>
    </row>
    <row r="22" spans="1:9" x14ac:dyDescent="0.3">
      <c r="A22" s="29" t="s">
        <v>107</v>
      </c>
      <c r="B22" s="29"/>
      <c r="C22" s="29"/>
      <c r="D22" s="29"/>
      <c r="E22" s="29" t="s">
        <v>108</v>
      </c>
      <c r="F22" s="30">
        <v>0</v>
      </c>
      <c r="G22" s="29">
        <v>1</v>
      </c>
      <c r="H22" s="29" t="s">
        <v>75</v>
      </c>
      <c r="I22" s="30">
        <f>(F22*G22)</f>
        <v>0</v>
      </c>
    </row>
    <row r="23" spans="1:9" x14ac:dyDescent="0.3">
      <c r="A23" s="86" t="s">
        <v>147</v>
      </c>
      <c r="B23" s="86"/>
      <c r="C23" s="86"/>
      <c r="D23" s="86"/>
      <c r="E23" s="86"/>
      <c r="F23" s="86"/>
      <c r="G23" s="86"/>
      <c r="H23" s="86"/>
      <c r="I23" s="40">
        <f>SUM(I24:I26)</f>
        <v>11600</v>
      </c>
    </row>
    <row r="24" spans="1:9" x14ac:dyDescent="0.3">
      <c r="A24" s="62" t="s">
        <v>144</v>
      </c>
      <c r="B24" s="29"/>
      <c r="C24" s="29"/>
      <c r="D24" s="29"/>
      <c r="E24" s="29" t="str">
        <f>Elementos!B60</f>
        <v>Ribbon 20 hilos AWG 28 o AWG 26</v>
      </c>
      <c r="F24" s="30">
        <f>Elementos!C60</f>
        <v>2700</v>
      </c>
      <c r="G24" s="29">
        <v>3</v>
      </c>
      <c r="H24" s="29" t="s">
        <v>76</v>
      </c>
      <c r="I24" s="30">
        <f>F24*G24</f>
        <v>8100</v>
      </c>
    </row>
    <row r="25" spans="1:9" x14ac:dyDescent="0.3">
      <c r="A25" s="62" t="s">
        <v>146</v>
      </c>
      <c r="B25" s="29"/>
      <c r="C25" s="29"/>
      <c r="D25" s="29"/>
      <c r="E25" s="29" t="str">
        <f>Elementos!B62</f>
        <v>Sujetadores de seguridad para los cables</v>
      </c>
      <c r="F25" s="30">
        <f>Elementos!C62</f>
        <v>1500</v>
      </c>
      <c r="G25" s="29">
        <v>1</v>
      </c>
      <c r="H25" s="29" t="s">
        <v>148</v>
      </c>
      <c r="I25" s="30">
        <f>F25*G25</f>
        <v>1500</v>
      </c>
    </row>
    <row r="26" spans="1:9" x14ac:dyDescent="0.3">
      <c r="A26" s="62" t="s">
        <v>145</v>
      </c>
      <c r="B26" s="29"/>
      <c r="C26" s="29"/>
      <c r="D26" s="29"/>
      <c r="E26" s="29" t="str">
        <f>Elementos!B61</f>
        <v>Hembras</v>
      </c>
      <c r="F26" s="30">
        <f>Elementos!C61</f>
        <v>2000</v>
      </c>
      <c r="G26" s="63">
        <v>1</v>
      </c>
      <c r="H26" s="63" t="s">
        <v>148</v>
      </c>
      <c r="I26" s="30">
        <f>F26*G26</f>
        <v>2000</v>
      </c>
    </row>
    <row r="27" spans="1:9" x14ac:dyDescent="0.3">
      <c r="A27" s="10"/>
      <c r="B27" s="10"/>
      <c r="C27" s="10"/>
      <c r="D27" s="10"/>
      <c r="E27" s="10"/>
      <c r="F27" s="43"/>
      <c r="G27" s="10"/>
      <c r="H27" s="10"/>
      <c r="I27" s="43"/>
    </row>
    <row r="28" spans="1:9" x14ac:dyDescent="0.3">
      <c r="B28" s="10"/>
      <c r="C28" s="10"/>
      <c r="D28" s="10"/>
      <c r="E28" s="10"/>
      <c r="F28" s="43"/>
      <c r="G28" s="10"/>
      <c r="H28" s="10"/>
      <c r="I28" s="43"/>
    </row>
    <row r="29" spans="1:9" x14ac:dyDescent="0.3">
      <c r="A29" s="10"/>
      <c r="B29" s="10"/>
      <c r="C29" s="10"/>
      <c r="D29" s="10"/>
      <c r="E29" s="10"/>
      <c r="F29" s="43"/>
      <c r="G29" s="10"/>
      <c r="H29" s="10"/>
      <c r="I29" s="43"/>
    </row>
    <row r="30" spans="1:9" x14ac:dyDescent="0.3">
      <c r="A30" s="10"/>
      <c r="B30" s="10"/>
      <c r="C30" s="10"/>
      <c r="D30" s="10"/>
      <c r="E30" s="10"/>
      <c r="F30" s="43"/>
      <c r="G30" s="10"/>
      <c r="H30" s="10"/>
      <c r="I30" s="43"/>
    </row>
    <row r="31" spans="1:9" x14ac:dyDescent="0.3">
      <c r="A31" s="10"/>
      <c r="B31" s="10"/>
      <c r="C31" s="10"/>
      <c r="D31" s="10"/>
      <c r="E31" s="10"/>
      <c r="F31" s="43"/>
      <c r="G31" s="10"/>
      <c r="H31" s="10"/>
      <c r="I31" s="43"/>
    </row>
  </sheetData>
  <mergeCells count="6">
    <mergeCell ref="K1:L1"/>
    <mergeCell ref="A23:H23"/>
    <mergeCell ref="A1:I1"/>
    <mergeCell ref="A3:H3"/>
    <mergeCell ref="G2:H2"/>
    <mergeCell ref="A13:H13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90" r:id="rId4" name="OptionButton54">
          <controlPr defaultSize="0" disabled="1" autoLine="0" r:id="rId5">
            <anchor moveWithCells="1">
              <from>
                <xdr:col>3</xdr:col>
                <xdr:colOff>121920</xdr:colOff>
                <xdr:row>11</xdr:row>
                <xdr:rowOff>38100</xdr:rowOff>
              </from>
              <to>
                <xdr:col>3</xdr:col>
                <xdr:colOff>327660</xdr:colOff>
                <xdr:row>11</xdr:row>
                <xdr:rowOff>175260</xdr:rowOff>
              </to>
            </anchor>
          </controlPr>
        </control>
      </mc:Choice>
      <mc:Fallback>
        <control shapeId="1090" r:id="rId4" name="OptionButton54"/>
      </mc:Fallback>
    </mc:AlternateContent>
    <mc:AlternateContent xmlns:mc="http://schemas.openxmlformats.org/markup-compatibility/2006">
      <mc:Choice Requires="x14">
        <control shapeId="1089" r:id="rId6" name="OptionButton53">
          <controlPr defaultSize="0" autoLine="0" r:id="rId7">
            <anchor moveWithCells="1">
              <from>
                <xdr:col>2</xdr:col>
                <xdr:colOff>106680</xdr:colOff>
                <xdr:row>11</xdr:row>
                <xdr:rowOff>38100</xdr:rowOff>
              </from>
              <to>
                <xdr:col>2</xdr:col>
                <xdr:colOff>312420</xdr:colOff>
                <xdr:row>11</xdr:row>
                <xdr:rowOff>175260</xdr:rowOff>
              </to>
            </anchor>
          </controlPr>
        </control>
      </mc:Choice>
      <mc:Fallback>
        <control shapeId="1089" r:id="rId6" name="OptionButton53"/>
      </mc:Fallback>
    </mc:AlternateContent>
    <mc:AlternateContent xmlns:mc="http://schemas.openxmlformats.org/markup-compatibility/2006">
      <mc:Choice Requires="x14">
        <control shapeId="1088" r:id="rId8" name="OptionButton52">
          <controlPr defaultSize="0" autoLine="0" r:id="rId9">
            <anchor moveWithCells="1">
              <from>
                <xdr:col>1</xdr:col>
                <xdr:colOff>99060</xdr:colOff>
                <xdr:row>11</xdr:row>
                <xdr:rowOff>38100</xdr:rowOff>
              </from>
              <to>
                <xdr:col>1</xdr:col>
                <xdr:colOff>304800</xdr:colOff>
                <xdr:row>11</xdr:row>
                <xdr:rowOff>175260</xdr:rowOff>
              </to>
            </anchor>
          </controlPr>
        </control>
      </mc:Choice>
      <mc:Fallback>
        <control shapeId="1088" r:id="rId8" name="OptionButton52"/>
      </mc:Fallback>
    </mc:AlternateContent>
    <mc:AlternateContent xmlns:mc="http://schemas.openxmlformats.org/markup-compatibility/2006">
      <mc:Choice Requires="x14">
        <control shapeId="1087" r:id="rId10" name="OptionButton51">
          <controlPr defaultSize="0" autoLine="0" r:id="rId7">
            <anchor moveWithCells="1">
              <from>
                <xdr:col>3</xdr:col>
                <xdr:colOff>121920</xdr:colOff>
                <xdr:row>10</xdr:row>
                <xdr:rowOff>38100</xdr:rowOff>
              </from>
              <to>
                <xdr:col>3</xdr:col>
                <xdr:colOff>327660</xdr:colOff>
                <xdr:row>10</xdr:row>
                <xdr:rowOff>175260</xdr:rowOff>
              </to>
            </anchor>
          </controlPr>
        </control>
      </mc:Choice>
      <mc:Fallback>
        <control shapeId="1087" r:id="rId10" name="OptionButton51"/>
      </mc:Fallback>
    </mc:AlternateContent>
    <mc:AlternateContent xmlns:mc="http://schemas.openxmlformats.org/markup-compatibility/2006">
      <mc:Choice Requires="x14">
        <control shapeId="1086" r:id="rId11" name="OptionButton50">
          <controlPr defaultSize="0" autoLine="0" r:id="rId9">
            <anchor moveWithCells="1">
              <from>
                <xdr:col>2</xdr:col>
                <xdr:colOff>106680</xdr:colOff>
                <xdr:row>10</xdr:row>
                <xdr:rowOff>38100</xdr:rowOff>
              </from>
              <to>
                <xdr:col>2</xdr:col>
                <xdr:colOff>312420</xdr:colOff>
                <xdr:row>10</xdr:row>
                <xdr:rowOff>175260</xdr:rowOff>
              </to>
            </anchor>
          </controlPr>
        </control>
      </mc:Choice>
      <mc:Fallback>
        <control shapeId="1086" r:id="rId11" name="OptionButton50"/>
      </mc:Fallback>
    </mc:AlternateContent>
    <mc:AlternateContent xmlns:mc="http://schemas.openxmlformats.org/markup-compatibility/2006">
      <mc:Choice Requires="x14">
        <control shapeId="1085" r:id="rId12" name="OptionButton49">
          <controlPr defaultSize="0" autoLine="0" r:id="rId7">
            <anchor moveWithCells="1">
              <from>
                <xdr:col>1</xdr:col>
                <xdr:colOff>99060</xdr:colOff>
                <xdr:row>10</xdr:row>
                <xdr:rowOff>38100</xdr:rowOff>
              </from>
              <to>
                <xdr:col>1</xdr:col>
                <xdr:colOff>304800</xdr:colOff>
                <xdr:row>10</xdr:row>
                <xdr:rowOff>175260</xdr:rowOff>
              </to>
            </anchor>
          </controlPr>
        </control>
      </mc:Choice>
      <mc:Fallback>
        <control shapeId="1085" r:id="rId12" name="OptionButton49"/>
      </mc:Fallback>
    </mc:AlternateContent>
    <mc:AlternateContent xmlns:mc="http://schemas.openxmlformats.org/markup-compatibility/2006">
      <mc:Choice Requires="x14">
        <control shapeId="1081" r:id="rId13" name="OptionButton48">
          <controlPr defaultSize="0" autoLine="0" r:id="rId7">
            <anchor moveWithCells="1">
              <from>
                <xdr:col>3</xdr:col>
                <xdr:colOff>121920</xdr:colOff>
                <xdr:row>21</xdr:row>
                <xdr:rowOff>30480</xdr:rowOff>
              </from>
              <to>
                <xdr:col>3</xdr:col>
                <xdr:colOff>327660</xdr:colOff>
                <xdr:row>21</xdr:row>
                <xdr:rowOff>167640</xdr:rowOff>
              </to>
            </anchor>
          </controlPr>
        </control>
      </mc:Choice>
      <mc:Fallback>
        <control shapeId="1081" r:id="rId13" name="OptionButton48"/>
      </mc:Fallback>
    </mc:AlternateContent>
    <mc:AlternateContent xmlns:mc="http://schemas.openxmlformats.org/markup-compatibility/2006">
      <mc:Choice Requires="x14">
        <control shapeId="1080" r:id="rId14" name="OptionButton47">
          <controlPr defaultSize="0" disabled="1" autoLine="0" r:id="rId5">
            <anchor moveWithCells="1">
              <from>
                <xdr:col>2</xdr:col>
                <xdr:colOff>106680</xdr:colOff>
                <xdr:row>21</xdr:row>
                <xdr:rowOff>30480</xdr:rowOff>
              </from>
              <to>
                <xdr:col>2</xdr:col>
                <xdr:colOff>312420</xdr:colOff>
                <xdr:row>21</xdr:row>
                <xdr:rowOff>167640</xdr:rowOff>
              </to>
            </anchor>
          </controlPr>
        </control>
      </mc:Choice>
      <mc:Fallback>
        <control shapeId="1080" r:id="rId14" name="OptionButton47"/>
      </mc:Fallback>
    </mc:AlternateContent>
    <mc:AlternateContent xmlns:mc="http://schemas.openxmlformats.org/markup-compatibility/2006">
      <mc:Choice Requires="x14">
        <control shapeId="1079" r:id="rId15" name="OptionButton46">
          <controlPr defaultSize="0" autoLine="0" r:id="rId9">
            <anchor moveWithCells="1">
              <from>
                <xdr:col>1</xdr:col>
                <xdr:colOff>99060</xdr:colOff>
                <xdr:row>21</xdr:row>
                <xdr:rowOff>30480</xdr:rowOff>
              </from>
              <to>
                <xdr:col>1</xdr:col>
                <xdr:colOff>304800</xdr:colOff>
                <xdr:row>21</xdr:row>
                <xdr:rowOff>167640</xdr:rowOff>
              </to>
            </anchor>
          </controlPr>
        </control>
      </mc:Choice>
      <mc:Fallback>
        <control shapeId="1079" r:id="rId15" name="OptionButton46"/>
      </mc:Fallback>
    </mc:AlternateContent>
    <mc:AlternateContent xmlns:mc="http://schemas.openxmlformats.org/markup-compatibility/2006">
      <mc:Choice Requires="x14">
        <control shapeId="1078" r:id="rId16" name="OptionButton45">
          <controlPr defaultSize="0" autoLine="0" r:id="rId9">
            <anchor moveWithCells="1">
              <from>
                <xdr:col>3</xdr:col>
                <xdr:colOff>121920</xdr:colOff>
                <xdr:row>20</xdr:row>
                <xdr:rowOff>38100</xdr:rowOff>
              </from>
              <to>
                <xdr:col>3</xdr:col>
                <xdr:colOff>327660</xdr:colOff>
                <xdr:row>20</xdr:row>
                <xdr:rowOff>175260</xdr:rowOff>
              </to>
            </anchor>
          </controlPr>
        </control>
      </mc:Choice>
      <mc:Fallback>
        <control shapeId="1078" r:id="rId16" name="OptionButton45"/>
      </mc:Fallback>
    </mc:AlternateContent>
    <mc:AlternateContent xmlns:mc="http://schemas.openxmlformats.org/markup-compatibility/2006">
      <mc:Choice Requires="x14">
        <control shapeId="1077" r:id="rId17" name="OptionButton44">
          <controlPr defaultSize="0" autoLine="0" r:id="rId7">
            <anchor moveWithCells="1">
              <from>
                <xdr:col>2</xdr:col>
                <xdr:colOff>106680</xdr:colOff>
                <xdr:row>20</xdr:row>
                <xdr:rowOff>38100</xdr:rowOff>
              </from>
              <to>
                <xdr:col>2</xdr:col>
                <xdr:colOff>312420</xdr:colOff>
                <xdr:row>20</xdr:row>
                <xdr:rowOff>175260</xdr:rowOff>
              </to>
            </anchor>
          </controlPr>
        </control>
      </mc:Choice>
      <mc:Fallback>
        <control shapeId="1077" r:id="rId17" name="OptionButton44"/>
      </mc:Fallback>
    </mc:AlternateContent>
    <mc:AlternateContent xmlns:mc="http://schemas.openxmlformats.org/markup-compatibility/2006">
      <mc:Choice Requires="x14">
        <control shapeId="1076" r:id="rId18" name="OptionButton43">
          <controlPr defaultSize="0" autoLine="0" r:id="rId7">
            <anchor moveWithCells="1">
              <from>
                <xdr:col>1</xdr:col>
                <xdr:colOff>99060</xdr:colOff>
                <xdr:row>20</xdr:row>
                <xdr:rowOff>38100</xdr:rowOff>
              </from>
              <to>
                <xdr:col>1</xdr:col>
                <xdr:colOff>304800</xdr:colOff>
                <xdr:row>20</xdr:row>
                <xdr:rowOff>175260</xdr:rowOff>
              </to>
            </anchor>
          </controlPr>
        </control>
      </mc:Choice>
      <mc:Fallback>
        <control shapeId="1076" r:id="rId18" name="OptionButton43"/>
      </mc:Fallback>
    </mc:AlternateContent>
    <mc:AlternateContent xmlns:mc="http://schemas.openxmlformats.org/markup-compatibility/2006">
      <mc:Choice Requires="x14">
        <control shapeId="1075" r:id="rId19" name="OptionButton42">
          <controlPr defaultSize="0" autoLine="0" r:id="rId7">
            <anchor moveWithCells="1">
              <from>
                <xdr:col>3</xdr:col>
                <xdr:colOff>121920</xdr:colOff>
                <xdr:row>19</xdr:row>
                <xdr:rowOff>38100</xdr:rowOff>
              </from>
              <to>
                <xdr:col>3</xdr:col>
                <xdr:colOff>327660</xdr:colOff>
                <xdr:row>19</xdr:row>
                <xdr:rowOff>175260</xdr:rowOff>
              </to>
            </anchor>
          </controlPr>
        </control>
      </mc:Choice>
      <mc:Fallback>
        <control shapeId="1075" r:id="rId19" name="OptionButton42"/>
      </mc:Fallback>
    </mc:AlternateContent>
    <mc:AlternateContent xmlns:mc="http://schemas.openxmlformats.org/markup-compatibility/2006">
      <mc:Choice Requires="x14">
        <control shapeId="1074" r:id="rId20" name="OptionButton41">
          <controlPr defaultSize="0" autoLine="0" r:id="rId7">
            <anchor moveWithCells="1">
              <from>
                <xdr:col>2</xdr:col>
                <xdr:colOff>106680</xdr:colOff>
                <xdr:row>19</xdr:row>
                <xdr:rowOff>38100</xdr:rowOff>
              </from>
              <to>
                <xdr:col>2</xdr:col>
                <xdr:colOff>312420</xdr:colOff>
                <xdr:row>19</xdr:row>
                <xdr:rowOff>175260</xdr:rowOff>
              </to>
            </anchor>
          </controlPr>
        </control>
      </mc:Choice>
      <mc:Fallback>
        <control shapeId="1074" r:id="rId20" name="OptionButton41"/>
      </mc:Fallback>
    </mc:AlternateContent>
    <mc:AlternateContent xmlns:mc="http://schemas.openxmlformats.org/markup-compatibility/2006">
      <mc:Choice Requires="x14">
        <control shapeId="1073" r:id="rId21" name="OptionButton40">
          <controlPr defaultSize="0" autoLine="0" r:id="rId9">
            <anchor moveWithCells="1">
              <from>
                <xdr:col>1</xdr:col>
                <xdr:colOff>99060</xdr:colOff>
                <xdr:row>19</xdr:row>
                <xdr:rowOff>38100</xdr:rowOff>
              </from>
              <to>
                <xdr:col>1</xdr:col>
                <xdr:colOff>304800</xdr:colOff>
                <xdr:row>19</xdr:row>
                <xdr:rowOff>175260</xdr:rowOff>
              </to>
            </anchor>
          </controlPr>
        </control>
      </mc:Choice>
      <mc:Fallback>
        <control shapeId="1073" r:id="rId21" name="OptionButton40"/>
      </mc:Fallback>
    </mc:AlternateContent>
    <mc:AlternateContent xmlns:mc="http://schemas.openxmlformats.org/markup-compatibility/2006">
      <mc:Choice Requires="x14">
        <control shapeId="1072" r:id="rId22" name="OptionButton39">
          <controlPr defaultSize="0" autoLine="0" r:id="rId7">
            <anchor moveWithCells="1">
              <from>
                <xdr:col>3</xdr:col>
                <xdr:colOff>121920</xdr:colOff>
                <xdr:row>18</xdr:row>
                <xdr:rowOff>30480</xdr:rowOff>
              </from>
              <to>
                <xdr:col>3</xdr:col>
                <xdr:colOff>327660</xdr:colOff>
                <xdr:row>18</xdr:row>
                <xdr:rowOff>167640</xdr:rowOff>
              </to>
            </anchor>
          </controlPr>
        </control>
      </mc:Choice>
      <mc:Fallback>
        <control shapeId="1072" r:id="rId22" name="OptionButton39"/>
      </mc:Fallback>
    </mc:AlternateContent>
    <mc:AlternateContent xmlns:mc="http://schemas.openxmlformats.org/markup-compatibility/2006">
      <mc:Choice Requires="x14">
        <control shapeId="1071" r:id="rId23" name="OptionButton38">
          <controlPr defaultSize="0" disabled="1" autoLine="0" r:id="rId5">
            <anchor moveWithCells="1">
              <from>
                <xdr:col>2</xdr:col>
                <xdr:colOff>106680</xdr:colOff>
                <xdr:row>18</xdr:row>
                <xdr:rowOff>30480</xdr:rowOff>
              </from>
              <to>
                <xdr:col>2</xdr:col>
                <xdr:colOff>312420</xdr:colOff>
                <xdr:row>18</xdr:row>
                <xdr:rowOff>167640</xdr:rowOff>
              </to>
            </anchor>
          </controlPr>
        </control>
      </mc:Choice>
      <mc:Fallback>
        <control shapeId="1071" r:id="rId23" name="OptionButton38"/>
      </mc:Fallback>
    </mc:AlternateContent>
    <mc:AlternateContent xmlns:mc="http://schemas.openxmlformats.org/markup-compatibility/2006">
      <mc:Choice Requires="x14">
        <control shapeId="1070" r:id="rId24" name="OptionButton37">
          <controlPr defaultSize="0" autoLine="0" r:id="rId9">
            <anchor moveWithCells="1">
              <from>
                <xdr:col>1</xdr:col>
                <xdr:colOff>99060</xdr:colOff>
                <xdr:row>18</xdr:row>
                <xdr:rowOff>30480</xdr:rowOff>
              </from>
              <to>
                <xdr:col>1</xdr:col>
                <xdr:colOff>304800</xdr:colOff>
                <xdr:row>18</xdr:row>
                <xdr:rowOff>167640</xdr:rowOff>
              </to>
            </anchor>
          </controlPr>
        </control>
      </mc:Choice>
      <mc:Fallback>
        <control shapeId="1070" r:id="rId24" name="OptionButton37"/>
      </mc:Fallback>
    </mc:AlternateContent>
    <mc:AlternateContent xmlns:mc="http://schemas.openxmlformats.org/markup-compatibility/2006">
      <mc:Choice Requires="x14">
        <control shapeId="1069" r:id="rId25" name="OptionButton36">
          <controlPr defaultSize="0" autoLine="0" r:id="rId7">
            <anchor moveWithCells="1">
              <from>
                <xdr:col>3</xdr:col>
                <xdr:colOff>121920</xdr:colOff>
                <xdr:row>17</xdr:row>
                <xdr:rowOff>30480</xdr:rowOff>
              </from>
              <to>
                <xdr:col>3</xdr:col>
                <xdr:colOff>327660</xdr:colOff>
                <xdr:row>17</xdr:row>
                <xdr:rowOff>167640</xdr:rowOff>
              </to>
            </anchor>
          </controlPr>
        </control>
      </mc:Choice>
      <mc:Fallback>
        <control shapeId="1069" r:id="rId25" name="OptionButton36"/>
      </mc:Fallback>
    </mc:AlternateContent>
    <mc:AlternateContent xmlns:mc="http://schemas.openxmlformats.org/markup-compatibility/2006">
      <mc:Choice Requires="x14">
        <control shapeId="1068" r:id="rId26" name="OptionButton35">
          <controlPr defaultSize="0" autoLine="0" r:id="rId7">
            <anchor moveWithCells="1">
              <from>
                <xdr:col>2</xdr:col>
                <xdr:colOff>106680</xdr:colOff>
                <xdr:row>17</xdr:row>
                <xdr:rowOff>30480</xdr:rowOff>
              </from>
              <to>
                <xdr:col>2</xdr:col>
                <xdr:colOff>312420</xdr:colOff>
                <xdr:row>17</xdr:row>
                <xdr:rowOff>167640</xdr:rowOff>
              </to>
            </anchor>
          </controlPr>
        </control>
      </mc:Choice>
      <mc:Fallback>
        <control shapeId="1068" r:id="rId26" name="OptionButton35"/>
      </mc:Fallback>
    </mc:AlternateContent>
    <mc:AlternateContent xmlns:mc="http://schemas.openxmlformats.org/markup-compatibility/2006">
      <mc:Choice Requires="x14">
        <control shapeId="1067" r:id="rId27" name="OptionButton34">
          <controlPr defaultSize="0" autoLine="0" r:id="rId9">
            <anchor moveWithCells="1">
              <from>
                <xdr:col>1</xdr:col>
                <xdr:colOff>99060</xdr:colOff>
                <xdr:row>17</xdr:row>
                <xdr:rowOff>30480</xdr:rowOff>
              </from>
              <to>
                <xdr:col>1</xdr:col>
                <xdr:colOff>304800</xdr:colOff>
                <xdr:row>17</xdr:row>
                <xdr:rowOff>167640</xdr:rowOff>
              </to>
            </anchor>
          </controlPr>
        </control>
      </mc:Choice>
      <mc:Fallback>
        <control shapeId="1067" r:id="rId27" name="OptionButton34"/>
      </mc:Fallback>
    </mc:AlternateContent>
    <mc:AlternateContent xmlns:mc="http://schemas.openxmlformats.org/markup-compatibility/2006">
      <mc:Choice Requires="x14">
        <control shapeId="1066" r:id="rId28" name="OptionButton33">
          <controlPr defaultSize="0" autoLine="0" r:id="rId9">
            <anchor moveWithCells="1">
              <from>
                <xdr:col>3</xdr:col>
                <xdr:colOff>121920</xdr:colOff>
                <xdr:row>16</xdr:row>
                <xdr:rowOff>30480</xdr:rowOff>
              </from>
              <to>
                <xdr:col>3</xdr:col>
                <xdr:colOff>327660</xdr:colOff>
                <xdr:row>16</xdr:row>
                <xdr:rowOff>167640</xdr:rowOff>
              </to>
            </anchor>
          </controlPr>
        </control>
      </mc:Choice>
      <mc:Fallback>
        <control shapeId="1066" r:id="rId28" name="OptionButton33"/>
      </mc:Fallback>
    </mc:AlternateContent>
    <mc:AlternateContent xmlns:mc="http://schemas.openxmlformats.org/markup-compatibility/2006">
      <mc:Choice Requires="x14">
        <control shapeId="1065" r:id="rId29" name="OptionButton32">
          <controlPr defaultSize="0" autoLine="0" r:id="rId7">
            <anchor moveWithCells="1">
              <from>
                <xdr:col>2</xdr:col>
                <xdr:colOff>106680</xdr:colOff>
                <xdr:row>16</xdr:row>
                <xdr:rowOff>30480</xdr:rowOff>
              </from>
              <to>
                <xdr:col>2</xdr:col>
                <xdr:colOff>312420</xdr:colOff>
                <xdr:row>16</xdr:row>
                <xdr:rowOff>167640</xdr:rowOff>
              </to>
            </anchor>
          </controlPr>
        </control>
      </mc:Choice>
      <mc:Fallback>
        <control shapeId="1065" r:id="rId29" name="OptionButton32"/>
      </mc:Fallback>
    </mc:AlternateContent>
    <mc:AlternateContent xmlns:mc="http://schemas.openxmlformats.org/markup-compatibility/2006">
      <mc:Choice Requires="x14">
        <control shapeId="1064" r:id="rId30" name="OptionButton31">
          <controlPr defaultSize="0" disabled="1" autoLine="0" r:id="rId5">
            <anchor moveWithCells="1">
              <from>
                <xdr:col>1</xdr:col>
                <xdr:colOff>99060</xdr:colOff>
                <xdr:row>16</xdr:row>
                <xdr:rowOff>30480</xdr:rowOff>
              </from>
              <to>
                <xdr:col>1</xdr:col>
                <xdr:colOff>304800</xdr:colOff>
                <xdr:row>16</xdr:row>
                <xdr:rowOff>167640</xdr:rowOff>
              </to>
            </anchor>
          </controlPr>
        </control>
      </mc:Choice>
      <mc:Fallback>
        <control shapeId="1064" r:id="rId30" name="OptionButton31"/>
      </mc:Fallback>
    </mc:AlternateContent>
    <mc:AlternateContent xmlns:mc="http://schemas.openxmlformats.org/markup-compatibility/2006">
      <mc:Choice Requires="x14">
        <control shapeId="1063" r:id="rId31" name="OptionButton30">
          <controlPr defaultSize="0" autoLine="0" r:id="rId7">
            <anchor moveWithCells="1">
              <from>
                <xdr:col>3</xdr:col>
                <xdr:colOff>121920</xdr:colOff>
                <xdr:row>15</xdr:row>
                <xdr:rowOff>38100</xdr:rowOff>
              </from>
              <to>
                <xdr:col>3</xdr:col>
                <xdr:colOff>327660</xdr:colOff>
                <xdr:row>15</xdr:row>
                <xdr:rowOff>175260</xdr:rowOff>
              </to>
            </anchor>
          </controlPr>
        </control>
      </mc:Choice>
      <mc:Fallback>
        <control shapeId="1063" r:id="rId31" name="OptionButton30"/>
      </mc:Fallback>
    </mc:AlternateContent>
    <mc:AlternateContent xmlns:mc="http://schemas.openxmlformats.org/markup-compatibility/2006">
      <mc:Choice Requires="x14">
        <control shapeId="1062" r:id="rId32" name="OptionButton29">
          <controlPr defaultSize="0" autoLine="0" r:id="rId9">
            <anchor moveWithCells="1">
              <from>
                <xdr:col>2</xdr:col>
                <xdr:colOff>106680</xdr:colOff>
                <xdr:row>15</xdr:row>
                <xdr:rowOff>38100</xdr:rowOff>
              </from>
              <to>
                <xdr:col>2</xdr:col>
                <xdr:colOff>312420</xdr:colOff>
                <xdr:row>15</xdr:row>
                <xdr:rowOff>175260</xdr:rowOff>
              </to>
            </anchor>
          </controlPr>
        </control>
      </mc:Choice>
      <mc:Fallback>
        <control shapeId="1062" r:id="rId32" name="OptionButton29"/>
      </mc:Fallback>
    </mc:AlternateContent>
    <mc:AlternateContent xmlns:mc="http://schemas.openxmlformats.org/markup-compatibility/2006">
      <mc:Choice Requires="x14">
        <control shapeId="1061" r:id="rId33" name="OptionButton28">
          <controlPr defaultSize="0" autoLine="0" r:id="rId7">
            <anchor moveWithCells="1">
              <from>
                <xdr:col>1</xdr:col>
                <xdr:colOff>99060</xdr:colOff>
                <xdr:row>15</xdr:row>
                <xdr:rowOff>38100</xdr:rowOff>
              </from>
              <to>
                <xdr:col>1</xdr:col>
                <xdr:colOff>304800</xdr:colOff>
                <xdr:row>15</xdr:row>
                <xdr:rowOff>175260</xdr:rowOff>
              </to>
            </anchor>
          </controlPr>
        </control>
      </mc:Choice>
      <mc:Fallback>
        <control shapeId="1061" r:id="rId33" name="OptionButton28"/>
      </mc:Fallback>
    </mc:AlternateContent>
    <mc:AlternateContent xmlns:mc="http://schemas.openxmlformats.org/markup-compatibility/2006">
      <mc:Choice Requires="x14">
        <control shapeId="1060" r:id="rId34" name="OptionButton27">
          <controlPr defaultSize="0" autoLine="0" r:id="rId7">
            <anchor moveWithCells="1">
              <from>
                <xdr:col>3</xdr:col>
                <xdr:colOff>121920</xdr:colOff>
                <xdr:row>14</xdr:row>
                <xdr:rowOff>38100</xdr:rowOff>
              </from>
              <to>
                <xdr:col>3</xdr:col>
                <xdr:colOff>327660</xdr:colOff>
                <xdr:row>14</xdr:row>
                <xdr:rowOff>175260</xdr:rowOff>
              </to>
            </anchor>
          </controlPr>
        </control>
      </mc:Choice>
      <mc:Fallback>
        <control shapeId="1060" r:id="rId34" name="OptionButton27"/>
      </mc:Fallback>
    </mc:AlternateContent>
    <mc:AlternateContent xmlns:mc="http://schemas.openxmlformats.org/markup-compatibility/2006">
      <mc:Choice Requires="x14">
        <control shapeId="1059" r:id="rId35" name="OptionButton26">
          <controlPr defaultSize="0" autoLine="0" r:id="rId7">
            <anchor moveWithCells="1">
              <from>
                <xdr:col>2</xdr:col>
                <xdr:colOff>106680</xdr:colOff>
                <xdr:row>14</xdr:row>
                <xdr:rowOff>38100</xdr:rowOff>
              </from>
              <to>
                <xdr:col>2</xdr:col>
                <xdr:colOff>312420</xdr:colOff>
                <xdr:row>14</xdr:row>
                <xdr:rowOff>175260</xdr:rowOff>
              </to>
            </anchor>
          </controlPr>
        </control>
      </mc:Choice>
      <mc:Fallback>
        <control shapeId="1059" r:id="rId35" name="OptionButton26"/>
      </mc:Fallback>
    </mc:AlternateContent>
    <mc:AlternateContent xmlns:mc="http://schemas.openxmlformats.org/markup-compatibility/2006">
      <mc:Choice Requires="x14">
        <control shapeId="1058" r:id="rId36" name="OptionButton25">
          <controlPr defaultSize="0" autoLine="0" r:id="rId9">
            <anchor moveWithCells="1">
              <from>
                <xdr:col>1</xdr:col>
                <xdr:colOff>99060</xdr:colOff>
                <xdr:row>14</xdr:row>
                <xdr:rowOff>38100</xdr:rowOff>
              </from>
              <to>
                <xdr:col>1</xdr:col>
                <xdr:colOff>304800</xdr:colOff>
                <xdr:row>14</xdr:row>
                <xdr:rowOff>175260</xdr:rowOff>
              </to>
            </anchor>
          </controlPr>
        </control>
      </mc:Choice>
      <mc:Fallback>
        <control shapeId="1058" r:id="rId36" name="OptionButton25"/>
      </mc:Fallback>
    </mc:AlternateContent>
    <mc:AlternateContent xmlns:mc="http://schemas.openxmlformats.org/markup-compatibility/2006">
      <mc:Choice Requires="x14">
        <control shapeId="1057" r:id="rId37" name="OptionButton24">
          <controlPr defaultSize="0" autoLine="0" r:id="rId7">
            <anchor moveWithCells="1">
              <from>
                <xdr:col>3</xdr:col>
                <xdr:colOff>121920</xdr:colOff>
                <xdr:row>13</xdr:row>
                <xdr:rowOff>30480</xdr:rowOff>
              </from>
              <to>
                <xdr:col>3</xdr:col>
                <xdr:colOff>327660</xdr:colOff>
                <xdr:row>13</xdr:row>
                <xdr:rowOff>167640</xdr:rowOff>
              </to>
            </anchor>
          </controlPr>
        </control>
      </mc:Choice>
      <mc:Fallback>
        <control shapeId="1057" r:id="rId37" name="OptionButton24"/>
      </mc:Fallback>
    </mc:AlternateContent>
    <mc:AlternateContent xmlns:mc="http://schemas.openxmlformats.org/markup-compatibility/2006">
      <mc:Choice Requires="x14">
        <control shapeId="1056" r:id="rId38" name="OptionButton23">
          <controlPr defaultSize="0" disabled="1" autoLine="0" r:id="rId5">
            <anchor moveWithCells="1">
              <from>
                <xdr:col>2</xdr:col>
                <xdr:colOff>106680</xdr:colOff>
                <xdr:row>13</xdr:row>
                <xdr:rowOff>30480</xdr:rowOff>
              </from>
              <to>
                <xdr:col>2</xdr:col>
                <xdr:colOff>312420</xdr:colOff>
                <xdr:row>13</xdr:row>
                <xdr:rowOff>167640</xdr:rowOff>
              </to>
            </anchor>
          </controlPr>
        </control>
      </mc:Choice>
      <mc:Fallback>
        <control shapeId="1056" r:id="rId38" name="OptionButton23"/>
      </mc:Fallback>
    </mc:AlternateContent>
    <mc:AlternateContent xmlns:mc="http://schemas.openxmlformats.org/markup-compatibility/2006">
      <mc:Choice Requires="x14">
        <control shapeId="1055" r:id="rId39" name="OptionButton22">
          <controlPr defaultSize="0" autoLine="0" r:id="rId9">
            <anchor moveWithCells="1">
              <from>
                <xdr:col>1</xdr:col>
                <xdr:colOff>99060</xdr:colOff>
                <xdr:row>13</xdr:row>
                <xdr:rowOff>30480</xdr:rowOff>
              </from>
              <to>
                <xdr:col>1</xdr:col>
                <xdr:colOff>304800</xdr:colOff>
                <xdr:row>13</xdr:row>
                <xdr:rowOff>167640</xdr:rowOff>
              </to>
            </anchor>
          </controlPr>
        </control>
      </mc:Choice>
      <mc:Fallback>
        <control shapeId="1055" r:id="rId39" name="OptionButton22"/>
      </mc:Fallback>
    </mc:AlternateContent>
    <mc:AlternateContent xmlns:mc="http://schemas.openxmlformats.org/markup-compatibility/2006">
      <mc:Choice Requires="x14">
        <control shapeId="1054" r:id="rId40" name="OptionButton21">
          <controlPr defaultSize="0" autoLine="0" r:id="rId7">
            <anchor moveWithCells="1">
              <from>
                <xdr:col>3</xdr:col>
                <xdr:colOff>121920</xdr:colOff>
                <xdr:row>9</xdr:row>
                <xdr:rowOff>30480</xdr:rowOff>
              </from>
              <to>
                <xdr:col>3</xdr:col>
                <xdr:colOff>327660</xdr:colOff>
                <xdr:row>9</xdr:row>
                <xdr:rowOff>167640</xdr:rowOff>
              </to>
            </anchor>
          </controlPr>
        </control>
      </mc:Choice>
      <mc:Fallback>
        <control shapeId="1054" r:id="rId40" name="OptionButton21"/>
      </mc:Fallback>
    </mc:AlternateContent>
    <mc:AlternateContent xmlns:mc="http://schemas.openxmlformats.org/markup-compatibility/2006">
      <mc:Choice Requires="x14">
        <control shapeId="1053" r:id="rId41" name="OptionButton20">
          <controlPr defaultSize="0" autoLine="0" r:id="rId7">
            <anchor moveWithCells="1">
              <from>
                <xdr:col>2</xdr:col>
                <xdr:colOff>106680</xdr:colOff>
                <xdr:row>9</xdr:row>
                <xdr:rowOff>30480</xdr:rowOff>
              </from>
              <to>
                <xdr:col>2</xdr:col>
                <xdr:colOff>312420</xdr:colOff>
                <xdr:row>9</xdr:row>
                <xdr:rowOff>167640</xdr:rowOff>
              </to>
            </anchor>
          </controlPr>
        </control>
      </mc:Choice>
      <mc:Fallback>
        <control shapeId="1053" r:id="rId41" name="OptionButton20"/>
      </mc:Fallback>
    </mc:AlternateContent>
    <mc:AlternateContent xmlns:mc="http://schemas.openxmlformats.org/markup-compatibility/2006">
      <mc:Choice Requires="x14">
        <control shapeId="1052" r:id="rId42" name="OptionButton19">
          <controlPr defaultSize="0" autoLine="0" r:id="rId9">
            <anchor moveWithCells="1">
              <from>
                <xdr:col>1</xdr:col>
                <xdr:colOff>99060</xdr:colOff>
                <xdr:row>9</xdr:row>
                <xdr:rowOff>30480</xdr:rowOff>
              </from>
              <to>
                <xdr:col>1</xdr:col>
                <xdr:colOff>304800</xdr:colOff>
                <xdr:row>9</xdr:row>
                <xdr:rowOff>167640</xdr:rowOff>
              </to>
            </anchor>
          </controlPr>
        </control>
      </mc:Choice>
      <mc:Fallback>
        <control shapeId="1052" r:id="rId42" name="OptionButton19"/>
      </mc:Fallback>
    </mc:AlternateContent>
    <mc:AlternateContent xmlns:mc="http://schemas.openxmlformats.org/markup-compatibility/2006">
      <mc:Choice Requires="x14">
        <control shapeId="1051" r:id="rId43" name="OptionButton18">
          <controlPr defaultSize="0" autoLine="0" r:id="rId9">
            <anchor moveWithCells="1">
              <from>
                <xdr:col>3</xdr:col>
                <xdr:colOff>121920</xdr:colOff>
                <xdr:row>8</xdr:row>
                <xdr:rowOff>22860</xdr:rowOff>
              </from>
              <to>
                <xdr:col>3</xdr:col>
                <xdr:colOff>327660</xdr:colOff>
                <xdr:row>8</xdr:row>
                <xdr:rowOff>160020</xdr:rowOff>
              </to>
            </anchor>
          </controlPr>
        </control>
      </mc:Choice>
      <mc:Fallback>
        <control shapeId="1051" r:id="rId43" name="OptionButton18"/>
      </mc:Fallback>
    </mc:AlternateContent>
    <mc:AlternateContent xmlns:mc="http://schemas.openxmlformats.org/markup-compatibility/2006">
      <mc:Choice Requires="x14">
        <control shapeId="1050" r:id="rId44" name="OptionButton17">
          <controlPr defaultSize="0" disabled="1" autoLine="0" r:id="rId5">
            <anchor moveWithCells="1">
              <from>
                <xdr:col>2</xdr:col>
                <xdr:colOff>106680</xdr:colOff>
                <xdr:row>8</xdr:row>
                <xdr:rowOff>22860</xdr:rowOff>
              </from>
              <to>
                <xdr:col>2</xdr:col>
                <xdr:colOff>312420</xdr:colOff>
                <xdr:row>8</xdr:row>
                <xdr:rowOff>160020</xdr:rowOff>
              </to>
            </anchor>
          </controlPr>
        </control>
      </mc:Choice>
      <mc:Fallback>
        <control shapeId="1050" r:id="rId44" name="OptionButton17"/>
      </mc:Fallback>
    </mc:AlternateContent>
    <mc:AlternateContent xmlns:mc="http://schemas.openxmlformats.org/markup-compatibility/2006">
      <mc:Choice Requires="x14">
        <control shapeId="1049" r:id="rId45" name="OptionButton16">
          <controlPr defaultSize="0" autoLine="0" r:id="rId7">
            <anchor moveWithCells="1">
              <from>
                <xdr:col>1</xdr:col>
                <xdr:colOff>99060</xdr:colOff>
                <xdr:row>8</xdr:row>
                <xdr:rowOff>22860</xdr:rowOff>
              </from>
              <to>
                <xdr:col>1</xdr:col>
                <xdr:colOff>304800</xdr:colOff>
                <xdr:row>8</xdr:row>
                <xdr:rowOff>160020</xdr:rowOff>
              </to>
            </anchor>
          </controlPr>
        </control>
      </mc:Choice>
      <mc:Fallback>
        <control shapeId="1049" r:id="rId45" name="OptionButton16"/>
      </mc:Fallback>
    </mc:AlternateContent>
    <mc:AlternateContent xmlns:mc="http://schemas.openxmlformats.org/markup-compatibility/2006">
      <mc:Choice Requires="x14">
        <control shapeId="1048" r:id="rId46" name="OptionButton15">
          <controlPr defaultSize="0" autoLine="0" r:id="rId9">
            <anchor moveWithCells="1">
              <from>
                <xdr:col>3</xdr:col>
                <xdr:colOff>121920</xdr:colOff>
                <xdr:row>7</xdr:row>
                <xdr:rowOff>30480</xdr:rowOff>
              </from>
              <to>
                <xdr:col>3</xdr:col>
                <xdr:colOff>327660</xdr:colOff>
                <xdr:row>7</xdr:row>
                <xdr:rowOff>167640</xdr:rowOff>
              </to>
            </anchor>
          </controlPr>
        </control>
      </mc:Choice>
      <mc:Fallback>
        <control shapeId="1048" r:id="rId46" name="OptionButton15"/>
      </mc:Fallback>
    </mc:AlternateContent>
    <mc:AlternateContent xmlns:mc="http://schemas.openxmlformats.org/markup-compatibility/2006">
      <mc:Choice Requires="x14">
        <control shapeId="1047" r:id="rId47" name="OptionButton14">
          <controlPr defaultSize="0" disabled="1" autoLine="0" r:id="rId5">
            <anchor moveWithCells="1">
              <from>
                <xdr:col>2</xdr:col>
                <xdr:colOff>106680</xdr:colOff>
                <xdr:row>7</xdr:row>
                <xdr:rowOff>30480</xdr:rowOff>
              </from>
              <to>
                <xdr:col>2</xdr:col>
                <xdr:colOff>312420</xdr:colOff>
                <xdr:row>7</xdr:row>
                <xdr:rowOff>167640</xdr:rowOff>
              </to>
            </anchor>
          </controlPr>
        </control>
      </mc:Choice>
      <mc:Fallback>
        <control shapeId="1047" r:id="rId47" name="OptionButton14"/>
      </mc:Fallback>
    </mc:AlternateContent>
    <mc:AlternateContent xmlns:mc="http://schemas.openxmlformats.org/markup-compatibility/2006">
      <mc:Choice Requires="x14">
        <control shapeId="1046" r:id="rId48" name="OptionButton13">
          <controlPr defaultSize="0" autoLine="0" r:id="rId7">
            <anchor moveWithCells="1">
              <from>
                <xdr:col>1</xdr:col>
                <xdr:colOff>99060</xdr:colOff>
                <xdr:row>7</xdr:row>
                <xdr:rowOff>30480</xdr:rowOff>
              </from>
              <to>
                <xdr:col>1</xdr:col>
                <xdr:colOff>304800</xdr:colOff>
                <xdr:row>7</xdr:row>
                <xdr:rowOff>167640</xdr:rowOff>
              </to>
            </anchor>
          </controlPr>
        </control>
      </mc:Choice>
      <mc:Fallback>
        <control shapeId="1046" r:id="rId48" name="OptionButton13"/>
      </mc:Fallback>
    </mc:AlternateContent>
    <mc:AlternateContent xmlns:mc="http://schemas.openxmlformats.org/markup-compatibility/2006">
      <mc:Choice Requires="x14">
        <control shapeId="1045" r:id="rId49" name="OptionButton12">
          <controlPr defaultSize="0" autoLine="0" r:id="rId7">
            <anchor moveWithCells="1">
              <from>
                <xdr:col>3</xdr:col>
                <xdr:colOff>121920</xdr:colOff>
                <xdr:row>6</xdr:row>
                <xdr:rowOff>38100</xdr:rowOff>
              </from>
              <to>
                <xdr:col>3</xdr:col>
                <xdr:colOff>327660</xdr:colOff>
                <xdr:row>6</xdr:row>
                <xdr:rowOff>175260</xdr:rowOff>
              </to>
            </anchor>
          </controlPr>
        </control>
      </mc:Choice>
      <mc:Fallback>
        <control shapeId="1045" r:id="rId49" name="OptionButton12"/>
      </mc:Fallback>
    </mc:AlternateContent>
    <mc:AlternateContent xmlns:mc="http://schemas.openxmlformats.org/markup-compatibility/2006">
      <mc:Choice Requires="x14">
        <control shapeId="1044" r:id="rId50" name="OptionButton11">
          <controlPr defaultSize="0" disabled="1" autoLine="0" r:id="rId5">
            <anchor moveWithCells="1">
              <from>
                <xdr:col>2</xdr:col>
                <xdr:colOff>106680</xdr:colOff>
                <xdr:row>6</xdr:row>
                <xdr:rowOff>38100</xdr:rowOff>
              </from>
              <to>
                <xdr:col>2</xdr:col>
                <xdr:colOff>312420</xdr:colOff>
                <xdr:row>6</xdr:row>
                <xdr:rowOff>175260</xdr:rowOff>
              </to>
            </anchor>
          </controlPr>
        </control>
      </mc:Choice>
      <mc:Fallback>
        <control shapeId="1044" r:id="rId50" name="OptionButton11"/>
      </mc:Fallback>
    </mc:AlternateContent>
    <mc:AlternateContent xmlns:mc="http://schemas.openxmlformats.org/markup-compatibility/2006">
      <mc:Choice Requires="x14">
        <control shapeId="1043" r:id="rId51" name="OptionButton10">
          <controlPr defaultSize="0" autoLine="0" r:id="rId9">
            <anchor moveWithCells="1">
              <from>
                <xdr:col>1</xdr:col>
                <xdr:colOff>99060</xdr:colOff>
                <xdr:row>6</xdr:row>
                <xdr:rowOff>38100</xdr:rowOff>
              </from>
              <to>
                <xdr:col>1</xdr:col>
                <xdr:colOff>304800</xdr:colOff>
                <xdr:row>6</xdr:row>
                <xdr:rowOff>175260</xdr:rowOff>
              </to>
            </anchor>
          </controlPr>
        </control>
      </mc:Choice>
      <mc:Fallback>
        <control shapeId="1043" r:id="rId51" name="OptionButton10"/>
      </mc:Fallback>
    </mc:AlternateContent>
    <mc:AlternateContent xmlns:mc="http://schemas.openxmlformats.org/markup-compatibility/2006">
      <mc:Choice Requires="x14">
        <control shapeId="1042" r:id="rId52" name="OptionButton9">
          <controlPr defaultSize="0" disabled="1" autoLine="0" r:id="rId5">
            <anchor moveWithCells="1">
              <from>
                <xdr:col>3</xdr:col>
                <xdr:colOff>121920</xdr:colOff>
                <xdr:row>5</xdr:row>
                <xdr:rowOff>30480</xdr:rowOff>
              </from>
              <to>
                <xdr:col>3</xdr:col>
                <xdr:colOff>327660</xdr:colOff>
                <xdr:row>5</xdr:row>
                <xdr:rowOff>167640</xdr:rowOff>
              </to>
            </anchor>
          </controlPr>
        </control>
      </mc:Choice>
      <mc:Fallback>
        <control shapeId="1042" r:id="rId52" name="OptionButton9"/>
      </mc:Fallback>
    </mc:AlternateContent>
    <mc:AlternateContent xmlns:mc="http://schemas.openxmlformats.org/markup-compatibility/2006">
      <mc:Choice Requires="x14">
        <control shapeId="1041" r:id="rId53" name="OptionButton8">
          <controlPr defaultSize="0" autoLine="0" r:id="rId9">
            <anchor moveWithCells="1">
              <from>
                <xdr:col>2</xdr:col>
                <xdr:colOff>106680</xdr:colOff>
                <xdr:row>5</xdr:row>
                <xdr:rowOff>30480</xdr:rowOff>
              </from>
              <to>
                <xdr:col>2</xdr:col>
                <xdr:colOff>312420</xdr:colOff>
                <xdr:row>5</xdr:row>
                <xdr:rowOff>167640</xdr:rowOff>
              </to>
            </anchor>
          </controlPr>
        </control>
      </mc:Choice>
      <mc:Fallback>
        <control shapeId="1041" r:id="rId53" name="OptionButton8"/>
      </mc:Fallback>
    </mc:AlternateContent>
    <mc:AlternateContent xmlns:mc="http://schemas.openxmlformats.org/markup-compatibility/2006">
      <mc:Choice Requires="x14">
        <control shapeId="1040" r:id="rId54" name="OptionButton7">
          <controlPr defaultSize="0" disabled="1" autoLine="0" r:id="rId5">
            <anchor moveWithCells="1">
              <from>
                <xdr:col>1</xdr:col>
                <xdr:colOff>99060</xdr:colOff>
                <xdr:row>5</xdr:row>
                <xdr:rowOff>30480</xdr:rowOff>
              </from>
              <to>
                <xdr:col>1</xdr:col>
                <xdr:colOff>304800</xdr:colOff>
                <xdr:row>5</xdr:row>
                <xdr:rowOff>167640</xdr:rowOff>
              </to>
            </anchor>
          </controlPr>
        </control>
      </mc:Choice>
      <mc:Fallback>
        <control shapeId="1040" r:id="rId54" name="OptionButton7"/>
      </mc:Fallback>
    </mc:AlternateContent>
    <mc:AlternateContent xmlns:mc="http://schemas.openxmlformats.org/markup-compatibility/2006">
      <mc:Choice Requires="x14">
        <control shapeId="1039" r:id="rId55" name="OptionButton6">
          <controlPr defaultSize="0" autoLine="0" r:id="rId9">
            <anchor moveWithCells="1">
              <from>
                <xdr:col>3</xdr:col>
                <xdr:colOff>121920</xdr:colOff>
                <xdr:row>4</xdr:row>
                <xdr:rowOff>38100</xdr:rowOff>
              </from>
              <to>
                <xdr:col>3</xdr:col>
                <xdr:colOff>327660</xdr:colOff>
                <xdr:row>4</xdr:row>
                <xdr:rowOff>175260</xdr:rowOff>
              </to>
            </anchor>
          </controlPr>
        </control>
      </mc:Choice>
      <mc:Fallback>
        <control shapeId="1039" r:id="rId55" name="OptionButton6"/>
      </mc:Fallback>
    </mc:AlternateContent>
    <mc:AlternateContent xmlns:mc="http://schemas.openxmlformats.org/markup-compatibility/2006">
      <mc:Choice Requires="x14">
        <control shapeId="1038" r:id="rId56" name="OptionButton5">
          <controlPr defaultSize="0" disabled="1" autoLine="0" r:id="rId5">
            <anchor moveWithCells="1">
              <from>
                <xdr:col>2</xdr:col>
                <xdr:colOff>106680</xdr:colOff>
                <xdr:row>4</xdr:row>
                <xdr:rowOff>38100</xdr:rowOff>
              </from>
              <to>
                <xdr:col>2</xdr:col>
                <xdr:colOff>312420</xdr:colOff>
                <xdr:row>4</xdr:row>
                <xdr:rowOff>175260</xdr:rowOff>
              </to>
            </anchor>
          </controlPr>
        </control>
      </mc:Choice>
      <mc:Fallback>
        <control shapeId="1038" r:id="rId56" name="OptionButton5"/>
      </mc:Fallback>
    </mc:AlternateContent>
    <mc:AlternateContent xmlns:mc="http://schemas.openxmlformats.org/markup-compatibility/2006">
      <mc:Choice Requires="x14">
        <control shapeId="1037" r:id="rId57" name="OptionButton4">
          <controlPr defaultSize="0" autoLine="0" r:id="rId7">
            <anchor moveWithCells="1">
              <from>
                <xdr:col>1</xdr:col>
                <xdr:colOff>99060</xdr:colOff>
                <xdr:row>4</xdr:row>
                <xdr:rowOff>38100</xdr:rowOff>
              </from>
              <to>
                <xdr:col>1</xdr:col>
                <xdr:colOff>304800</xdr:colOff>
                <xdr:row>4</xdr:row>
                <xdr:rowOff>175260</xdr:rowOff>
              </to>
            </anchor>
          </controlPr>
        </control>
      </mc:Choice>
      <mc:Fallback>
        <control shapeId="1037" r:id="rId57" name="OptionButton4"/>
      </mc:Fallback>
    </mc:AlternateContent>
    <mc:AlternateContent xmlns:mc="http://schemas.openxmlformats.org/markup-compatibility/2006">
      <mc:Choice Requires="x14">
        <control shapeId="1036" r:id="rId58" name="OptionButton3">
          <controlPr defaultSize="0" disabled="1" autoLine="0" r:id="rId5">
            <anchor moveWithCells="1">
              <from>
                <xdr:col>3</xdr:col>
                <xdr:colOff>121920</xdr:colOff>
                <xdr:row>3</xdr:row>
                <xdr:rowOff>30480</xdr:rowOff>
              </from>
              <to>
                <xdr:col>3</xdr:col>
                <xdr:colOff>327660</xdr:colOff>
                <xdr:row>3</xdr:row>
                <xdr:rowOff>167640</xdr:rowOff>
              </to>
            </anchor>
          </controlPr>
        </control>
      </mc:Choice>
      <mc:Fallback>
        <control shapeId="1036" r:id="rId58" name="OptionButton3"/>
      </mc:Fallback>
    </mc:AlternateContent>
    <mc:AlternateContent xmlns:mc="http://schemas.openxmlformats.org/markup-compatibility/2006">
      <mc:Choice Requires="x14">
        <control shapeId="1035" r:id="rId59" name="OptionButton2">
          <controlPr defaultSize="0" autoLine="0" r:id="rId9">
            <anchor moveWithCells="1">
              <from>
                <xdr:col>2</xdr:col>
                <xdr:colOff>106680</xdr:colOff>
                <xdr:row>3</xdr:row>
                <xdr:rowOff>30480</xdr:rowOff>
              </from>
              <to>
                <xdr:col>2</xdr:col>
                <xdr:colOff>312420</xdr:colOff>
                <xdr:row>3</xdr:row>
                <xdr:rowOff>167640</xdr:rowOff>
              </to>
            </anchor>
          </controlPr>
        </control>
      </mc:Choice>
      <mc:Fallback>
        <control shapeId="1035" r:id="rId59" name="OptionButton2"/>
      </mc:Fallback>
    </mc:AlternateContent>
    <mc:AlternateContent xmlns:mc="http://schemas.openxmlformats.org/markup-compatibility/2006">
      <mc:Choice Requires="x14">
        <control shapeId="1034" r:id="rId60" name="OptionButton1">
          <controlPr defaultSize="0" disabled="1" autoLine="0" r:id="rId5">
            <anchor moveWithCells="1">
              <from>
                <xdr:col>1</xdr:col>
                <xdr:colOff>99060</xdr:colOff>
                <xdr:row>3</xdr:row>
                <xdr:rowOff>30480</xdr:rowOff>
              </from>
              <to>
                <xdr:col>1</xdr:col>
                <xdr:colOff>304800</xdr:colOff>
                <xdr:row>3</xdr:row>
                <xdr:rowOff>167640</xdr:rowOff>
              </to>
            </anchor>
          </controlPr>
        </control>
      </mc:Choice>
      <mc:Fallback>
        <control shapeId="1034" r:id="rId60" name="Optio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FC53-981E-4EC2-A1A3-2616239DB9F5}">
  <sheetPr codeName="Hoja3"/>
  <dimension ref="A1:C62"/>
  <sheetViews>
    <sheetView topLeftCell="A13" workbookViewId="0">
      <selection activeCell="E34" sqref="E34"/>
    </sheetView>
  </sheetViews>
  <sheetFormatPr baseColWidth="10" defaultRowHeight="14.4" x14ac:dyDescent="0.3"/>
  <cols>
    <col min="1" max="1" width="21.44140625" customWidth="1"/>
    <col min="2" max="2" width="38.6640625" customWidth="1"/>
  </cols>
  <sheetData>
    <row r="1" spans="1:3" x14ac:dyDescent="0.3">
      <c r="A1" s="94" t="s">
        <v>39</v>
      </c>
      <c r="B1" s="94"/>
      <c r="C1" s="94"/>
    </row>
    <row r="2" spans="1:3" x14ac:dyDescent="0.3">
      <c r="A2" s="34" t="s">
        <v>41</v>
      </c>
      <c r="B2" s="34" t="s">
        <v>42</v>
      </c>
      <c r="C2" s="34" t="s">
        <v>45</v>
      </c>
    </row>
    <row r="3" spans="1:3" x14ac:dyDescent="0.3">
      <c r="A3" s="90" t="s">
        <v>40</v>
      </c>
      <c r="B3" s="90"/>
      <c r="C3" s="90"/>
    </row>
    <row r="4" spans="1:3" x14ac:dyDescent="0.3">
      <c r="A4" s="95" t="s">
        <v>46</v>
      </c>
      <c r="B4" s="29"/>
      <c r="C4" s="29"/>
    </row>
    <row r="5" spans="1:3" x14ac:dyDescent="0.3">
      <c r="A5" s="95"/>
      <c r="B5" s="26" t="s">
        <v>47</v>
      </c>
      <c r="C5" s="27">
        <v>5400</v>
      </c>
    </row>
    <row r="6" spans="1:3" x14ac:dyDescent="0.3">
      <c r="A6" s="95"/>
      <c r="B6" s="26"/>
      <c r="C6" s="33"/>
    </row>
    <row r="7" spans="1:3" x14ac:dyDescent="0.3">
      <c r="A7" s="95" t="s">
        <v>43</v>
      </c>
      <c r="B7" s="26" t="s">
        <v>77</v>
      </c>
      <c r="C7" s="29">
        <v>500</v>
      </c>
    </row>
    <row r="8" spans="1:3" x14ac:dyDescent="0.3">
      <c r="A8" s="95"/>
      <c r="B8" s="29"/>
      <c r="C8" s="26"/>
    </row>
    <row r="9" spans="1:3" x14ac:dyDescent="0.3">
      <c r="A9" s="95"/>
      <c r="B9" s="26" t="s">
        <v>44</v>
      </c>
      <c r="C9" s="27">
        <v>4800</v>
      </c>
    </row>
    <row r="10" spans="1:3" x14ac:dyDescent="0.3">
      <c r="A10" s="95" t="s">
        <v>48</v>
      </c>
      <c r="B10" s="29"/>
      <c r="C10" s="29"/>
    </row>
    <row r="11" spans="1:3" x14ac:dyDescent="0.3">
      <c r="A11" s="95"/>
      <c r="B11" s="26" t="s">
        <v>49</v>
      </c>
      <c r="C11" s="27">
        <v>5500</v>
      </c>
    </row>
    <row r="12" spans="1:3" x14ac:dyDescent="0.3">
      <c r="A12" s="95"/>
      <c r="B12" s="26"/>
      <c r="C12" s="27"/>
    </row>
    <row r="13" spans="1:3" x14ac:dyDescent="0.3">
      <c r="A13" s="95" t="s">
        <v>56</v>
      </c>
      <c r="B13" s="26" t="s">
        <v>51</v>
      </c>
      <c r="C13" s="27">
        <v>4000</v>
      </c>
    </row>
    <row r="14" spans="1:3" x14ac:dyDescent="0.3">
      <c r="A14" s="95"/>
      <c r="B14" s="26"/>
      <c r="C14" s="28"/>
    </row>
    <row r="15" spans="1:3" x14ac:dyDescent="0.3">
      <c r="A15" s="95"/>
      <c r="B15" s="26" t="s">
        <v>50</v>
      </c>
      <c r="C15" s="28">
        <v>5600</v>
      </c>
    </row>
    <row r="16" spans="1:3" x14ac:dyDescent="0.3">
      <c r="A16" s="95" t="s">
        <v>52</v>
      </c>
      <c r="B16" s="26" t="s">
        <v>53</v>
      </c>
      <c r="C16" s="26">
        <v>1000</v>
      </c>
    </row>
    <row r="17" spans="1:3" x14ac:dyDescent="0.3">
      <c r="A17" s="95"/>
      <c r="B17" s="26"/>
      <c r="C17" s="27"/>
    </row>
    <row r="18" spans="1:3" x14ac:dyDescent="0.3">
      <c r="A18" s="95"/>
      <c r="B18" s="26" t="s">
        <v>54</v>
      </c>
      <c r="C18" s="27">
        <v>5000</v>
      </c>
    </row>
    <row r="19" spans="1:3" x14ac:dyDescent="0.3">
      <c r="A19" s="95" t="s">
        <v>55</v>
      </c>
      <c r="B19" s="26" t="s">
        <v>78</v>
      </c>
      <c r="C19" s="26">
        <v>4000</v>
      </c>
    </row>
    <row r="20" spans="1:3" x14ac:dyDescent="0.3">
      <c r="A20" s="95"/>
      <c r="B20" s="26"/>
      <c r="C20" s="26"/>
    </row>
    <row r="21" spans="1:3" x14ac:dyDescent="0.3">
      <c r="A21" s="95"/>
      <c r="B21" s="26" t="s">
        <v>61</v>
      </c>
      <c r="C21" s="27">
        <v>22000</v>
      </c>
    </row>
    <row r="22" spans="1:3" x14ac:dyDescent="0.3">
      <c r="A22" s="95" t="s">
        <v>57</v>
      </c>
      <c r="B22" s="26" t="s">
        <v>58</v>
      </c>
      <c r="C22" s="27">
        <v>1600</v>
      </c>
    </row>
    <row r="23" spans="1:3" x14ac:dyDescent="0.3">
      <c r="A23" s="95"/>
      <c r="B23" s="26" t="s">
        <v>60</v>
      </c>
      <c r="C23" s="27">
        <v>5400</v>
      </c>
    </row>
    <row r="24" spans="1:3" x14ac:dyDescent="0.3">
      <c r="A24" s="95"/>
      <c r="B24" s="26" t="s">
        <v>59</v>
      </c>
      <c r="C24" s="27">
        <v>8000</v>
      </c>
    </row>
    <row r="25" spans="1:3" x14ac:dyDescent="0.3">
      <c r="A25" s="91" t="s">
        <v>115</v>
      </c>
      <c r="B25" s="26" t="s">
        <v>117</v>
      </c>
      <c r="C25" s="27">
        <v>200</v>
      </c>
    </row>
    <row r="26" spans="1:3" x14ac:dyDescent="0.3">
      <c r="A26" s="92"/>
      <c r="B26" s="41" t="s">
        <v>119</v>
      </c>
      <c r="C26" s="27">
        <v>3600</v>
      </c>
    </row>
    <row r="27" spans="1:3" x14ac:dyDescent="0.3">
      <c r="A27" s="93"/>
      <c r="B27" s="26" t="s">
        <v>118</v>
      </c>
      <c r="C27" s="27">
        <v>4800</v>
      </c>
    </row>
    <row r="28" spans="1:3" x14ac:dyDescent="0.3">
      <c r="A28" s="91" t="s">
        <v>116</v>
      </c>
      <c r="B28" s="26" t="s">
        <v>120</v>
      </c>
      <c r="C28" s="27">
        <v>0</v>
      </c>
    </row>
    <row r="29" spans="1:3" x14ac:dyDescent="0.3">
      <c r="A29" s="92"/>
      <c r="B29" s="26" t="s">
        <v>122</v>
      </c>
      <c r="C29" s="27">
        <v>2000</v>
      </c>
    </row>
    <row r="30" spans="1:3" x14ac:dyDescent="0.3">
      <c r="A30" s="93"/>
      <c r="B30" s="26"/>
      <c r="C30" s="27"/>
    </row>
    <row r="31" spans="1:3" x14ac:dyDescent="0.3">
      <c r="A31" s="90" t="s">
        <v>80</v>
      </c>
      <c r="B31" s="97"/>
      <c r="C31" s="97"/>
    </row>
    <row r="32" spans="1:3" x14ac:dyDescent="0.3">
      <c r="A32" s="95" t="s">
        <v>81</v>
      </c>
      <c r="B32" s="26" t="s">
        <v>109</v>
      </c>
      <c r="C32" s="26">
        <v>60000</v>
      </c>
    </row>
    <row r="33" spans="1:3" x14ac:dyDescent="0.3">
      <c r="A33" s="98"/>
      <c r="B33" s="26"/>
      <c r="C33" s="26"/>
    </row>
    <row r="34" spans="1:3" x14ac:dyDescent="0.3">
      <c r="A34" s="98"/>
      <c r="B34" s="26" t="s">
        <v>82</v>
      </c>
      <c r="C34" s="27">
        <v>160000</v>
      </c>
    </row>
    <row r="35" spans="1:3" x14ac:dyDescent="0.3">
      <c r="A35" s="95" t="s">
        <v>83</v>
      </c>
      <c r="B35" s="26" t="s">
        <v>86</v>
      </c>
      <c r="C35" s="27">
        <v>7600</v>
      </c>
    </row>
    <row r="36" spans="1:3" x14ac:dyDescent="0.3">
      <c r="A36" s="95"/>
      <c r="B36" s="26" t="s">
        <v>96</v>
      </c>
      <c r="C36" s="27">
        <v>9000</v>
      </c>
    </row>
    <row r="37" spans="1:3" x14ac:dyDescent="0.3">
      <c r="A37" s="95"/>
      <c r="B37" s="26" t="s">
        <v>90</v>
      </c>
      <c r="C37" s="27">
        <v>30000</v>
      </c>
    </row>
    <row r="38" spans="1:3" x14ac:dyDescent="0.3">
      <c r="A38" s="91" t="s">
        <v>84</v>
      </c>
      <c r="B38" s="29" t="s">
        <v>95</v>
      </c>
      <c r="C38" s="29">
        <v>5000</v>
      </c>
    </row>
    <row r="39" spans="1:3" x14ac:dyDescent="0.3">
      <c r="A39" s="99"/>
      <c r="B39" s="29" t="s">
        <v>93</v>
      </c>
      <c r="C39" s="38">
        <v>20000</v>
      </c>
    </row>
    <row r="40" spans="1:3" x14ac:dyDescent="0.3">
      <c r="A40" s="100"/>
      <c r="B40" s="29" t="s">
        <v>94</v>
      </c>
      <c r="C40" s="38">
        <v>52000</v>
      </c>
    </row>
    <row r="41" spans="1:3" x14ac:dyDescent="0.3">
      <c r="A41" s="91" t="s">
        <v>85</v>
      </c>
      <c r="B41" s="29"/>
      <c r="C41" s="29"/>
    </row>
    <row r="42" spans="1:3" x14ac:dyDescent="0.3">
      <c r="A42" s="99"/>
      <c r="B42" s="29" t="s">
        <v>91</v>
      </c>
      <c r="C42" s="38">
        <v>84000</v>
      </c>
    </row>
    <row r="43" spans="1:3" x14ac:dyDescent="0.3">
      <c r="A43" s="100"/>
      <c r="B43" s="29" t="s">
        <v>92</v>
      </c>
      <c r="C43" s="29">
        <v>90000</v>
      </c>
    </row>
    <row r="44" spans="1:3" x14ac:dyDescent="0.3">
      <c r="A44" s="91" t="s">
        <v>87</v>
      </c>
      <c r="B44" s="29" t="s">
        <v>121</v>
      </c>
      <c r="C44" s="38">
        <v>35400</v>
      </c>
    </row>
    <row r="45" spans="1:3" x14ac:dyDescent="0.3">
      <c r="A45" s="92"/>
      <c r="B45" s="29" t="s">
        <v>88</v>
      </c>
      <c r="C45" s="38">
        <v>53000</v>
      </c>
    </row>
    <row r="46" spans="1:3" x14ac:dyDescent="0.3">
      <c r="A46" s="93"/>
      <c r="B46" s="29" t="s">
        <v>89</v>
      </c>
      <c r="C46" s="38">
        <v>64000</v>
      </c>
    </row>
    <row r="47" spans="1:3" x14ac:dyDescent="0.3">
      <c r="A47" s="91" t="s">
        <v>97</v>
      </c>
      <c r="B47" s="29" t="s">
        <v>98</v>
      </c>
      <c r="C47" s="38">
        <v>3800</v>
      </c>
    </row>
    <row r="48" spans="1:3" x14ac:dyDescent="0.3">
      <c r="A48" s="92"/>
      <c r="C48" s="29"/>
    </row>
    <row r="49" spans="1:3" x14ac:dyDescent="0.3">
      <c r="A49" s="93"/>
      <c r="B49" s="29" t="s">
        <v>99</v>
      </c>
      <c r="C49" s="38">
        <v>6800</v>
      </c>
    </row>
    <row r="50" spans="1:3" x14ac:dyDescent="0.3">
      <c r="A50" s="91" t="s">
        <v>100</v>
      </c>
      <c r="B50" s="29" t="s">
        <v>114</v>
      </c>
      <c r="C50" s="38">
        <v>700</v>
      </c>
    </row>
    <row r="51" spans="1:3" x14ac:dyDescent="0.3">
      <c r="A51" s="92"/>
      <c r="B51" s="29" t="s">
        <v>101</v>
      </c>
      <c r="C51" s="39">
        <v>6000</v>
      </c>
    </row>
    <row r="52" spans="1:3" x14ac:dyDescent="0.3">
      <c r="A52" s="93"/>
      <c r="B52" s="29" t="s">
        <v>102</v>
      </c>
      <c r="C52" s="38">
        <v>7000</v>
      </c>
    </row>
    <row r="53" spans="1:3" x14ac:dyDescent="0.3">
      <c r="A53" s="91" t="s">
        <v>103</v>
      </c>
      <c r="B53" s="29" t="s">
        <v>106</v>
      </c>
      <c r="C53" s="29">
        <v>0</v>
      </c>
    </row>
    <row r="54" spans="1:3" x14ac:dyDescent="0.3">
      <c r="A54" s="92"/>
      <c r="B54" s="29" t="s">
        <v>105</v>
      </c>
      <c r="C54" s="38">
        <v>44000</v>
      </c>
    </row>
    <row r="55" spans="1:3" x14ac:dyDescent="0.3">
      <c r="A55" s="93"/>
      <c r="B55" s="29" t="s">
        <v>104</v>
      </c>
      <c r="C55" s="38">
        <v>47200</v>
      </c>
    </row>
    <row r="56" spans="1:3" x14ac:dyDescent="0.3">
      <c r="A56" s="91" t="s">
        <v>107</v>
      </c>
      <c r="B56" s="29" t="s">
        <v>108</v>
      </c>
      <c r="C56" s="29">
        <v>0</v>
      </c>
    </row>
    <row r="57" spans="1:3" x14ac:dyDescent="0.3">
      <c r="A57" s="92"/>
      <c r="B57" s="29"/>
      <c r="C57" s="29"/>
    </row>
    <row r="58" spans="1:3" x14ac:dyDescent="0.3">
      <c r="A58" s="93"/>
      <c r="B58" s="29" t="s">
        <v>110</v>
      </c>
      <c r="C58" s="38">
        <v>38000</v>
      </c>
    </row>
    <row r="59" spans="1:3" x14ac:dyDescent="0.3">
      <c r="A59" s="96" t="s">
        <v>143</v>
      </c>
      <c r="B59" s="96"/>
      <c r="C59" s="96"/>
    </row>
    <row r="60" spans="1:3" x14ac:dyDescent="0.3">
      <c r="A60" s="23" t="s">
        <v>144</v>
      </c>
      <c r="B60" s="58" t="s">
        <v>149</v>
      </c>
      <c r="C60" s="61">
        <v>2700</v>
      </c>
    </row>
    <row r="61" spans="1:3" x14ac:dyDescent="0.3">
      <c r="A61" s="23" t="s">
        <v>145</v>
      </c>
      <c r="B61" s="58" t="s">
        <v>150</v>
      </c>
      <c r="C61">
        <v>2000</v>
      </c>
    </row>
    <row r="62" spans="1:3" x14ac:dyDescent="0.3">
      <c r="A62" s="23" t="s">
        <v>146</v>
      </c>
      <c r="B62" s="58" t="s">
        <v>151</v>
      </c>
      <c r="C62">
        <v>1500</v>
      </c>
    </row>
  </sheetData>
  <sheetProtection algorithmName="SHA-512" hashValue="Bb5fhjQ5uTlmje8DUKRg/smTMd5ELaZ2Kuk9rD4I2XdqXnEFDhtwOLAXum6mPwsVr8hy/HCrQfuzbJv8E0z+3A==" saltValue="xDmZm34n5JOAoyE6kuhm8g==" spinCount="100000" sheet="1" objects="1" scenarios="1"/>
  <mergeCells count="22">
    <mergeCell ref="A59:C59"/>
    <mergeCell ref="A31:C31"/>
    <mergeCell ref="A4:A6"/>
    <mergeCell ref="A10:A12"/>
    <mergeCell ref="A22:A24"/>
    <mergeCell ref="A56:A58"/>
    <mergeCell ref="A32:A34"/>
    <mergeCell ref="A35:A37"/>
    <mergeCell ref="A38:A40"/>
    <mergeCell ref="A41:A43"/>
    <mergeCell ref="A44:A46"/>
    <mergeCell ref="A47:A49"/>
    <mergeCell ref="A50:A52"/>
    <mergeCell ref="A53:A55"/>
    <mergeCell ref="A3:C3"/>
    <mergeCell ref="A25:A27"/>
    <mergeCell ref="A28:A30"/>
    <mergeCell ref="A1:C1"/>
    <mergeCell ref="A7:A9"/>
    <mergeCell ref="A13:A15"/>
    <mergeCell ref="A16:A18"/>
    <mergeCell ref="A19:A21"/>
  </mergeCells>
  <hyperlinks>
    <hyperlink ref="C5" r:id="rId1" display="https://www.didacticaselectronicas.com/index.php/cnc-e-impresoras-3d/acoples-para-motor/acople-para-motor-5mm-x-8mm-x-25mm-acople-5x8x25-eje-detail" xr:uid="{35F7EB7C-EA38-4FED-AAB2-1C6FF8D04742}"/>
    <hyperlink ref="C9" r:id="rId2" display="https://www.didacticaselectronicas.com/index.php/cnc-e-impresoras-3d/estructura/tuerca-t8-2mm-x-8mm-paa-varilla-trapezoidal-impresora-3d-tuerca-t8-anycubic-cnc-roscada-detail" xr:uid="{5C7C30ED-B0FF-441C-8435-B262FCA9DEC6}"/>
    <hyperlink ref="C11" r:id="rId3" display="https://www.didacticaselectronicas.com/index.php/cnc-e-impresoras-3d/sincronismo/correa-de-distribuci%C3%B3n-abierta-de-6mm-de-ancho-2gt-6-1m-a-gt2-anycubic-banda-polea-dentada-detail" xr:uid="{2569CEA8-4FB4-4CB8-B42E-DCEC3E63D9A2}"/>
    <hyperlink ref="C15" r:id="rId4" display="https://www.didacticaselectronicas.com/index.php/cnc-e-impresoras-3d/poleas-y-engranajes/polea-2gt-de-sincronismo-de-20-dientes-2gt-9-20-5mm-gt2-gt2-detail" xr:uid="{561F233E-9369-48B5-942A-311D585A9B31}"/>
    <hyperlink ref="C13" r:id="rId5" display="https://www.didacticaselectronicas.com/index.php/cnc-e-impresoras-3d/poleas-y-engranajes/polea-2gt-de-sincronismo-de-16-dientes-2gt-8-16-5mm-gt2-detail" xr:uid="{C34E6899-0E09-48F1-9EBC-D879A369EC45}"/>
    <hyperlink ref="C18" r:id="rId6" display="https://articulo.mercadolibre.com.co/MCO-527261841-varilla-lisa-eje-8mm-x-30-cm-acero-plata-printed-3d-o-cnc-_JM" xr:uid="{1B12CB2C-DD3A-4BED-B2F3-5DC09872E4FD}"/>
    <hyperlink ref="C21" r:id="rId7" display="https://www.didacticaselectronicas.com/index.php/cnc-e-impresoras-3d/estructura/eje-roscado,-t8-varilla-trapezoidal-roscada-300mm-anycubic-cnc-detail" xr:uid="{FB12CDA0-779F-4D82-A2E7-219CA7221EDC}"/>
    <hyperlink ref="C22" r:id="rId8" display="https://www.didacticaselectronicas.com/index.php/cnc-e-impresoras-3d/rodamientos/rodamiento-623zz-balinera-rueda-detail" xr:uid="{7ED26E4D-3C30-493A-A3CB-43BF745E2A75}"/>
    <hyperlink ref="C24" r:id="rId9" display="https://www.didacticaselectronicas.com/index.php/cnc-e-impresoras-3d/poleas-y-engranajes/gt2-polea-pasiva-lisa-2gt-de-sincr-20-dientes,-5mm-detail" xr:uid="{4E7B9192-AEC6-4FBE-AAE4-F4618BEF1BC1}"/>
    <hyperlink ref="C23" r:id="rId10" display="https://www.didacticaselectronicas.com/index.php/cnc-e-impresoras-3d/poleas-y-engranajes/polea-pasiva-2gt-de-sincronismo-de-20-dientes,-5mm-rueda-h-2gt-8-20-5mm-b-gt2-detail" xr:uid="{6CD16B37-F369-4EDD-9593-87B03EE19816}"/>
    <hyperlink ref="C34" r:id="rId11" display="https://www.didacticaselectronicas.com/index.php/cnc-e-impresoras-3d/controladores-cnc-y-3d/tarjeta-de-control-mks-gen-v1-4-pcb-mks-gen-v1-4-controladora-impresora-3d-ramps-1-4-detail" xr:uid="{770AE79C-2C3B-4D28-89ED-6747B2049B60}"/>
    <hyperlink ref="C35" r:id="rId12" display="https://www.didacticaselectronicas.com/index.php/robotica/controladores-1/tarjeta-controlador-controladores-driver-drivers-motor-paso-a-paso-control-stepper-a4988-detail" xr:uid="{6B154A68-84F5-4F75-AA4C-831E43D94D1D}"/>
    <hyperlink ref="C39" r:id="rId13" display="https://articulo.mercadolibre.com.co/MCO-531125661-motor-paso-a-paso-nema-17-bipolar-cnc-arduino-robotica-x4-_JM" xr:uid="{2F3DF2C3-DF40-46DC-857C-3B50A84CCCD9}"/>
    <hyperlink ref="C40" r:id="rId14" display="https://www.didacticaselectronicas.com/index.php/cnc-e-impresoras-3d/motores-cnc-y-3d/motor-paso-a-paso-nema-17-42hs34-0404-h%C3%ADbrido-0-4a-step-step-stepper-detail" xr:uid="{514299D7-4B0A-4B49-BBF4-5B38BF6B4AF8}"/>
    <hyperlink ref="C36" r:id="rId15" display="https://articulo.mercadolibre.com.co/MCO-456634264-modulo-drv8825-driver-motor-paso-a-paso-_JM" xr:uid="{0C56A79E-17D2-40AA-8246-82F30AE27FF9}"/>
    <hyperlink ref="C37" r:id="rId16" display="https://www.didacticaselectronicas.com/index.php/cnc-e-impresoras-3d/controladores-cnc-y-3d/controlador-motor-paso-a-paso-tmc2208-controlador,-driver,-control,-motor-paso-paso-step-dir-detail" xr:uid="{9DE9EFAB-0804-4039-9A20-C0BEA1B5EA42}"/>
    <hyperlink ref="C42" r:id="rId17" display="84000" xr:uid="{78A94C5D-8EE9-4A10-88A5-D0EE9C8FAE0D}"/>
    <hyperlink ref="C44" r:id="rId18" display="https://www.didacticaselectronicas.com/index.php/fuentes-adaptadores/fuentes-fijas/12v/fuente-suicheada-12v-10a-120w-swicheada-voltaje-poder-detail" xr:uid="{4DEFB929-9C97-47F4-9841-93D5E939141C}"/>
    <hyperlink ref="C45" r:id="rId19" display="https://www.didacticaselectronicas.com/index.php/fuentes-adaptadores/fuentes-fijas/12v/fuente-suicheada-12v-20a-240w-swicheada-voltaje-poder-detail" xr:uid="{F28DC73C-D393-4A7A-A633-7C21A5AEA7FF}"/>
    <hyperlink ref="C46" r:id="rId20" display="https://www.didacticaselectronicas.com/index.php/fuentes-adaptadores/fuentes-fijas/12v/fuente-suicheada-12v-30a-3600w-fija-alimentaci%C3%B3n-poder-voltaje-detail" xr:uid="{B00783D9-EFE6-484B-A986-9C46A8E75DE9}"/>
    <hyperlink ref="C52" r:id="rId21" display="https://listado.mercadolibre.com.co/final-carrera-optico" xr:uid="{54126D22-EC08-4D77-AB6F-7417DA758EE7}"/>
    <hyperlink ref="C51" r:id="rId22" display="https://www.didacticaselectronicas.com/index.php/sensores/contacto-y-choque/sensor-de-choque-endstop-end-stop-final-de-carrera-colisi%C3%B3n-2138-detail" xr:uid="{CDA60FC2-9327-49FB-932E-EEC792BA28B4}"/>
    <hyperlink ref="C50" r:id="rId23" display="https://www.didacticaselectronicas.com/index.php/suiches-y-conectores/suiches/micro-suiche/micro-suiche,-microsuiche,-suiche,-kw4-z1f150-8066-detail" xr:uid="{117E0B46-218E-43BD-AC29-663AB1D44161}"/>
    <hyperlink ref="C47" r:id="rId24" display="https://www.didacticaselectronicas.com/index.php/cnc-e-impresoras-3d/radiadores-y-ventiladores/ventilador-12v,-65ma,-40mm-x-40mm-x-10mm-vent-40x40x10-anycubic-fan-detail" xr:uid="{AC6A3F7C-335E-48E5-892D-02F88D4ACDD9}"/>
    <hyperlink ref="C49" r:id="rId25" display="https://www.didacticaselectronicas.com/index.php/cnc-e-impresoras-3d/radiadores-y-ventiladores/ventilador-soplador-12v,-70ma,-40mm-x-40mm-x-20mm-vent-sop-40x40x20-anycubic-fan-detail" xr:uid="{0A4576BA-092C-4B71-A54F-DC9CFB2ABD40}"/>
    <hyperlink ref="C58" r:id="rId26" display="https://www.didacticaselectronicas.com/index.php/cnc-e-impresoras-3d/platos-y-calefactores/plato-caliente-mk2b,-cama-caliente-cuadrada-para-impresora-3d-mk2b-200-dual-anycubic-detail" xr:uid="{5F597571-A117-4F94-9EDB-DD15C5157C38}"/>
    <hyperlink ref="C54" r:id="rId27" display="https://www.didacticaselectronicas.com/index.php/cnc-e-impresoras-3d/controladores-cnc-y-3d/lcd-2004-ramps-1-4-para-controlador-de-impresora-3d-lcd2004-ramps-1-4-anycubic-kossel-prusa-detail" xr:uid="{26E4410D-1DE9-4BC0-9F2B-0C7E041780FA}"/>
    <hyperlink ref="C55" r:id="rId28" display="https://www.didacticaselectronicas.com/index.php/cnc-e-impresoras-3d/controladores-cnc-y-3d/lcd-12864-ramps-1-4-para-controlador-de-impresora-3d-12864-ramps-1-4-anycubic-kossel-prusa-detail" xr:uid="{6DB78770-AC76-4D2D-927B-823641C46D97}"/>
    <hyperlink ref="C26" r:id="rId29" display="https://www.didacticaselectronicas.com/index.php/cnc-e-impresoras-3d/rodamientos/rodamiento-lineal-largo-8mm-balinera-lm8uu-detail" xr:uid="{F5CF3AAA-43BB-4FDB-AC70-102A0345CD76}"/>
    <hyperlink ref="C27" r:id="rId30" display="https://www.didacticaselectronicas.com/index.php/cnc-e-impresoras-3d/rodamientos/rodamiento-pl%C3%A1stico-solido-para-eje-8mm-detail" xr:uid="{6B8613F2-F9CE-4B62-B43C-7A2532BE1771}"/>
    <hyperlink ref="C29" r:id="rId31" display="https://www.didacticaselectronicas.com/index.php/cnc-e-impresoras-3d/rodamientos/openbuilds,-open-builds-27-detail" xr:uid="{19911739-55EF-4C1D-B605-7AB3CE7F41CD}"/>
    <hyperlink ref="C60" r:id="rId32" display="https://www.didacticaselectronicas.com/index.php/cables/ribbon/cable-gris-ribbon-plano-de-20-hilos-cable-flat-20-cable-para-datos,-awg-28-dupont-detail" xr:uid="{9E960947-EA25-43DC-A5D4-AB96B2CBC5DE}"/>
  </hyperlinks>
  <pageMargins left="0.7" right="0.7" top="0.75" bottom="0.75" header="0.3" footer="0.3"/>
  <pageSetup scale="98" fitToWidth="0" fitToHeight="0" orientation="portrait" horizontalDpi="0" verticalDpi="0" r:id="rId3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94F7C-9E8A-4C01-A23F-AE2C47190E40}">
  <sheetPr codeName="Hoja4"/>
  <dimension ref="A1:F8"/>
  <sheetViews>
    <sheetView workbookViewId="0">
      <selection activeCell="E20" sqref="E20"/>
    </sheetView>
  </sheetViews>
  <sheetFormatPr baseColWidth="10" defaultRowHeight="14.4" x14ac:dyDescent="0.3"/>
  <cols>
    <col min="1" max="1" width="28.109375" customWidth="1"/>
    <col min="5" max="5" width="30.5546875" customWidth="1"/>
  </cols>
  <sheetData>
    <row r="1" spans="1:6" x14ac:dyDescent="0.3">
      <c r="A1" s="101" t="s">
        <v>129</v>
      </c>
      <c r="B1" s="101"/>
      <c r="C1" s="101"/>
      <c r="E1" s="54" t="s">
        <v>132</v>
      </c>
      <c r="F1" s="55">
        <v>800</v>
      </c>
    </row>
    <row r="2" spans="1:6" ht="43.2" x14ac:dyDescent="0.3">
      <c r="A2" s="36" t="s">
        <v>67</v>
      </c>
      <c r="B2" s="57" t="s">
        <v>133</v>
      </c>
      <c r="C2" s="36" t="s">
        <v>126</v>
      </c>
      <c r="E2" s="58"/>
      <c r="F2" s="56"/>
    </row>
    <row r="3" spans="1:6" x14ac:dyDescent="0.3">
      <c r="A3" s="29" t="s">
        <v>137</v>
      </c>
      <c r="B3" s="44" t="s">
        <v>136</v>
      </c>
      <c r="C3" s="30">
        <v>9000</v>
      </c>
    </row>
    <row r="4" spans="1:6" x14ac:dyDescent="0.3">
      <c r="A4" s="29" t="s">
        <v>138</v>
      </c>
      <c r="B4" s="44" t="s">
        <v>136</v>
      </c>
      <c r="C4" s="30">
        <v>7000</v>
      </c>
    </row>
    <row r="5" spans="1:6" x14ac:dyDescent="0.3">
      <c r="A5" s="29" t="s">
        <v>134</v>
      </c>
      <c r="B5" s="44">
        <v>19</v>
      </c>
      <c r="C5" s="30">
        <f>$F$1*B5</f>
        <v>15200</v>
      </c>
    </row>
    <row r="6" spans="1:6" x14ac:dyDescent="0.3">
      <c r="A6" s="29" t="s">
        <v>135</v>
      </c>
      <c r="B6" s="44">
        <v>18</v>
      </c>
      <c r="C6" s="30">
        <f>$F$1*B6</f>
        <v>14400</v>
      </c>
    </row>
    <row r="7" spans="1:6" x14ac:dyDescent="0.3">
      <c r="A7" s="29"/>
      <c r="B7" s="29"/>
      <c r="C7" s="29"/>
    </row>
    <row r="8" spans="1:6" x14ac:dyDescent="0.3">
      <c r="A8" s="102" t="s">
        <v>130</v>
      </c>
      <c r="B8" s="103"/>
      <c r="C8" s="59">
        <f>SUM(C3:C7)</f>
        <v>45600</v>
      </c>
    </row>
  </sheetData>
  <sheetProtection algorithmName="SHA-512" hashValue="5P6EerrX5HLOkr2FIuxrnvgptWGq6tQOyatQVTqL1wzrUYNLDGDTwwPe+dYhSSQ9TDzb9i23yVF0LevtJ6xDnA==" saltValue="5wVKKQJ65MtL/IFCQKqZGg==" spinCount="100000" sheet="1" objects="1" scenarios="1"/>
  <mergeCells count="2">
    <mergeCell ref="A1:C1"/>
    <mergeCell ref="A8:B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6F552-19F3-408C-8EC7-005CE232116E}">
  <dimension ref="A1:L23"/>
  <sheetViews>
    <sheetView workbookViewId="0">
      <selection activeCell="G23" sqref="G23"/>
    </sheetView>
  </sheetViews>
  <sheetFormatPr baseColWidth="10" defaultRowHeight="14.4" x14ac:dyDescent="0.3"/>
  <cols>
    <col min="1" max="1" width="20.5546875" customWidth="1"/>
    <col min="2" max="2" width="11.5546875" customWidth="1"/>
    <col min="4" max="4" width="6" style="66" customWidth="1"/>
    <col min="5" max="5" width="4.109375" style="66" customWidth="1"/>
    <col min="6" max="6" width="8.88671875" style="65" customWidth="1"/>
    <col min="7" max="7" width="13.21875" customWidth="1"/>
    <col min="8" max="8" width="3.5546875" style="70" customWidth="1"/>
    <col min="9" max="9" width="14.77734375" customWidth="1"/>
    <col min="10" max="10" width="11.109375" style="53" customWidth="1"/>
    <col min="11" max="11" width="4" customWidth="1"/>
    <col min="12" max="12" width="73.77734375" customWidth="1"/>
  </cols>
  <sheetData>
    <row r="1" spans="1:12" x14ac:dyDescent="0.3">
      <c r="A1" s="104" t="s">
        <v>152</v>
      </c>
      <c r="B1" s="105"/>
      <c r="C1" s="105"/>
      <c r="D1" s="105"/>
      <c r="E1" s="105"/>
      <c r="F1" s="105"/>
      <c r="G1" s="105"/>
      <c r="H1" s="68"/>
      <c r="K1" s="68"/>
      <c r="L1" t="s">
        <v>159</v>
      </c>
    </row>
    <row r="2" spans="1:12" ht="43.2" x14ac:dyDescent="0.3">
      <c r="A2" s="36" t="s">
        <v>41</v>
      </c>
      <c r="B2" s="57" t="s">
        <v>153</v>
      </c>
      <c r="C2" s="36" t="s">
        <v>155</v>
      </c>
      <c r="D2" s="77" t="s">
        <v>158</v>
      </c>
      <c r="E2" s="77" t="s">
        <v>163</v>
      </c>
      <c r="F2" s="57" t="s">
        <v>157</v>
      </c>
      <c r="G2" s="36" t="s">
        <v>126</v>
      </c>
      <c r="H2" s="69"/>
      <c r="K2" s="69"/>
      <c r="L2" s="64" t="s">
        <v>156</v>
      </c>
    </row>
    <row r="3" spans="1:12" x14ac:dyDescent="0.3">
      <c r="A3" s="29" t="s">
        <v>154</v>
      </c>
      <c r="B3" s="29">
        <v>11479</v>
      </c>
      <c r="C3" s="74">
        <f>(1.241*(B3/10)*(PI()*(1.75/20)^2))</f>
        <v>34.264296233883044</v>
      </c>
      <c r="D3" s="75">
        <v>2</v>
      </c>
      <c r="E3" s="75">
        <v>45</v>
      </c>
      <c r="F3" s="75">
        <f>D3+E3/60</f>
        <v>2.75</v>
      </c>
      <c r="G3" s="83">
        <f>(F3*$J$4)+(C3*$J$5)</f>
        <v>2510.6506627346316</v>
      </c>
      <c r="L3" s="67" t="s">
        <v>162</v>
      </c>
    </row>
    <row r="4" spans="1:12" x14ac:dyDescent="0.3">
      <c r="A4" s="29" t="s">
        <v>164</v>
      </c>
      <c r="B4" s="29">
        <v>5083</v>
      </c>
      <c r="C4" s="74">
        <f t="shared" ref="C4:C15" si="0">(1.241*(B4/10)*(PI()*(1.75/20)^2))</f>
        <v>15.172525285898381</v>
      </c>
      <c r="D4" s="75">
        <v>1</v>
      </c>
      <c r="E4" s="75">
        <v>30</v>
      </c>
      <c r="F4" s="75">
        <f t="shared" ref="F4:F15" si="1">D4+E4/60</f>
        <v>1.5</v>
      </c>
      <c r="G4" s="83">
        <f>(F4*$J$4)+(C4*$J$5)</f>
        <v>1147.8690930115981</v>
      </c>
      <c r="I4" s="71" t="s">
        <v>160</v>
      </c>
      <c r="J4" s="73">
        <v>128</v>
      </c>
    </row>
    <row r="5" spans="1:12" x14ac:dyDescent="0.3">
      <c r="A5" s="29" t="s">
        <v>165</v>
      </c>
      <c r="B5" s="29">
        <v>8085</v>
      </c>
      <c r="C5" s="74">
        <f t="shared" si="0"/>
        <v>24.133359617644775</v>
      </c>
      <c r="D5" s="75">
        <v>2</v>
      </c>
      <c r="E5" s="75">
        <v>0</v>
      </c>
      <c r="F5" s="75">
        <f t="shared" si="1"/>
        <v>2</v>
      </c>
      <c r="G5" s="83">
        <f t="shared" ref="G5:G15" si="2">(F5*$J$4)+(C5*$J$5)</f>
        <v>1776.4016559116208</v>
      </c>
      <c r="I5" s="72" t="s">
        <v>161</v>
      </c>
      <c r="J5" s="76">
        <v>63</v>
      </c>
    </row>
    <row r="6" spans="1:12" x14ac:dyDescent="0.3">
      <c r="A6" s="29" t="s">
        <v>166</v>
      </c>
      <c r="B6" s="29">
        <v>8136</v>
      </c>
      <c r="C6" s="74">
        <f t="shared" si="0"/>
        <v>24.285592312821016</v>
      </c>
      <c r="D6" s="75">
        <v>2</v>
      </c>
      <c r="E6" s="75">
        <v>0</v>
      </c>
      <c r="F6" s="75">
        <f t="shared" si="1"/>
        <v>2</v>
      </c>
      <c r="G6" s="83">
        <f t="shared" si="2"/>
        <v>1785.9923157077239</v>
      </c>
    </row>
    <row r="7" spans="1:12" x14ac:dyDescent="0.3">
      <c r="A7" s="29" t="s">
        <v>167</v>
      </c>
      <c r="B7" s="29">
        <v>953</v>
      </c>
      <c r="C7" s="74">
        <f t="shared" si="0"/>
        <v>2.8446619314304851</v>
      </c>
      <c r="D7" s="75">
        <v>0</v>
      </c>
      <c r="E7" s="75">
        <v>13</v>
      </c>
      <c r="F7" s="75">
        <f>D7+E7/60</f>
        <v>0.21666666666666667</v>
      </c>
      <c r="G7" s="83">
        <f t="shared" si="2"/>
        <v>206.9470350134539</v>
      </c>
    </row>
    <row r="8" spans="1:12" x14ac:dyDescent="0.3">
      <c r="A8" s="29" t="s">
        <v>168</v>
      </c>
      <c r="B8" s="29">
        <v>937</v>
      </c>
      <c r="C8" s="74">
        <f t="shared" si="0"/>
        <v>2.7969026545124498</v>
      </c>
      <c r="D8" s="75">
        <v>0</v>
      </c>
      <c r="E8" s="75">
        <v>14</v>
      </c>
      <c r="F8" s="75">
        <f>D8+E8/60</f>
        <v>0.23333333333333334</v>
      </c>
      <c r="G8" s="83">
        <f>(F8*$J$4)+(C8*$J$5)</f>
        <v>206.07153390095101</v>
      </c>
    </row>
    <row r="9" spans="1:12" x14ac:dyDescent="0.3">
      <c r="A9" s="29" t="s">
        <v>169</v>
      </c>
      <c r="B9" s="29">
        <v>3463</v>
      </c>
      <c r="C9" s="74">
        <f t="shared" si="0"/>
        <v>10.336898497947294</v>
      </c>
      <c r="D9" s="75">
        <v>0</v>
      </c>
      <c r="E9" s="75">
        <v>52</v>
      </c>
      <c r="F9" s="75">
        <f t="shared" si="1"/>
        <v>0.8666666666666667</v>
      </c>
      <c r="G9" s="83">
        <f t="shared" si="2"/>
        <v>762.15793870401285</v>
      </c>
    </row>
    <row r="10" spans="1:12" x14ac:dyDescent="0.3">
      <c r="A10" s="29" t="s">
        <v>25</v>
      </c>
      <c r="B10" s="29">
        <v>6727</v>
      </c>
      <c r="C10" s="74">
        <f t="shared" si="0"/>
        <v>20.07979098922652</v>
      </c>
      <c r="D10" s="75">
        <v>1</v>
      </c>
      <c r="E10" s="75">
        <v>42</v>
      </c>
      <c r="F10" s="75">
        <f t="shared" si="1"/>
        <v>1.7</v>
      </c>
      <c r="G10" s="83">
        <f t="shared" si="2"/>
        <v>1482.6268323212707</v>
      </c>
    </row>
    <row r="11" spans="1:12" x14ac:dyDescent="0.3">
      <c r="A11" s="29" t="s">
        <v>170</v>
      </c>
      <c r="B11" s="29">
        <v>1425</v>
      </c>
      <c r="C11" s="74">
        <f t="shared" si="0"/>
        <v>4.2535606005125297</v>
      </c>
      <c r="D11" s="75">
        <v>0</v>
      </c>
      <c r="E11" s="75">
        <v>21</v>
      </c>
      <c r="F11" s="75">
        <f t="shared" si="1"/>
        <v>0.35</v>
      </c>
      <c r="G11" s="83">
        <f t="shared" si="2"/>
        <v>312.7743178322894</v>
      </c>
    </row>
    <row r="12" spans="1:12" x14ac:dyDescent="0.3">
      <c r="A12" s="29" t="s">
        <v>171</v>
      </c>
      <c r="B12" s="29">
        <v>1990</v>
      </c>
      <c r="C12" s="74">
        <f t="shared" si="0"/>
        <v>5.9400600666806564</v>
      </c>
      <c r="D12" s="75">
        <v>0</v>
      </c>
      <c r="E12" s="75">
        <v>28</v>
      </c>
      <c r="F12" s="75">
        <f t="shared" si="1"/>
        <v>0.46666666666666667</v>
      </c>
      <c r="G12" s="83">
        <f t="shared" si="2"/>
        <v>433.95711753421472</v>
      </c>
    </row>
    <row r="13" spans="1:12" x14ac:dyDescent="0.3">
      <c r="A13" s="29" t="s">
        <v>172</v>
      </c>
      <c r="B13" s="29">
        <v>10989</v>
      </c>
      <c r="C13" s="74">
        <f t="shared" si="0"/>
        <v>32.801668378268211</v>
      </c>
      <c r="D13" s="75">
        <v>2</v>
      </c>
      <c r="E13" s="75">
        <v>30</v>
      </c>
      <c r="F13" s="75">
        <f t="shared" si="1"/>
        <v>2.5</v>
      </c>
      <c r="G13" s="83">
        <f t="shared" si="2"/>
        <v>2386.5051078308975</v>
      </c>
    </row>
    <row r="14" spans="1:12" x14ac:dyDescent="0.3">
      <c r="A14" s="29" t="s">
        <v>173</v>
      </c>
      <c r="B14" s="29">
        <v>17129</v>
      </c>
      <c r="C14" s="74">
        <f t="shared" si="0"/>
        <v>51.129290895564303</v>
      </c>
      <c r="D14" s="75">
        <v>4</v>
      </c>
      <c r="E14" s="75">
        <v>7</v>
      </c>
      <c r="F14" s="75">
        <f t="shared" si="1"/>
        <v>4.1166666666666663</v>
      </c>
      <c r="G14" s="83">
        <f t="shared" si="2"/>
        <v>3748.0786597538845</v>
      </c>
    </row>
    <row r="15" spans="1:12" x14ac:dyDescent="0.3">
      <c r="A15" s="29" t="s">
        <v>174</v>
      </c>
      <c r="B15" s="29">
        <v>2152</v>
      </c>
      <c r="C15" s="74">
        <f t="shared" si="0"/>
        <v>6.4236227454757646</v>
      </c>
      <c r="D15" s="75">
        <v>0</v>
      </c>
      <c r="E15" s="75">
        <v>30</v>
      </c>
      <c r="F15" s="75">
        <f t="shared" si="1"/>
        <v>0.5</v>
      </c>
      <c r="G15" s="83">
        <f t="shared" si="2"/>
        <v>468.68823296497317</v>
      </c>
    </row>
    <row r="16" spans="1:12" x14ac:dyDescent="0.3">
      <c r="A16" s="29"/>
      <c r="B16" s="29"/>
      <c r="C16" s="74"/>
      <c r="D16" s="82"/>
      <c r="E16" s="82"/>
      <c r="F16" s="75"/>
      <c r="G16" s="83"/>
    </row>
    <row r="17" spans="1:7" ht="33.6" customHeight="1" x14ac:dyDescent="0.3">
      <c r="A17" s="106" t="s">
        <v>130</v>
      </c>
      <c r="B17" s="106"/>
      <c r="C17" s="106"/>
      <c r="D17" s="106"/>
      <c r="E17" s="106"/>
      <c r="F17" s="106"/>
      <c r="G17" s="84">
        <f>SUM(G3:G16)</f>
        <v>17228.720503221524</v>
      </c>
    </row>
    <row r="18" spans="1:7" x14ac:dyDescent="0.3">
      <c r="A18" s="10"/>
      <c r="B18" s="10"/>
      <c r="C18" s="80"/>
      <c r="D18" s="78"/>
      <c r="E18" s="78"/>
      <c r="F18" s="78"/>
      <c r="G18" s="81"/>
    </row>
    <row r="19" spans="1:7" x14ac:dyDescent="0.3">
      <c r="A19" s="10"/>
      <c r="B19" s="10"/>
      <c r="C19" s="80"/>
      <c r="D19" s="78"/>
      <c r="E19" s="78"/>
      <c r="F19" s="78"/>
      <c r="G19" s="81"/>
    </row>
    <row r="20" spans="1:7" x14ac:dyDescent="0.3">
      <c r="A20" s="10"/>
      <c r="B20" s="10"/>
      <c r="C20" s="80"/>
      <c r="D20" s="78"/>
      <c r="E20" s="78"/>
      <c r="F20" s="78"/>
      <c r="G20" s="81"/>
    </row>
    <row r="21" spans="1:7" x14ac:dyDescent="0.3">
      <c r="A21" s="10"/>
      <c r="B21" s="10"/>
      <c r="C21" s="10"/>
      <c r="D21" s="78"/>
      <c r="E21" s="78"/>
      <c r="F21" s="78"/>
      <c r="G21" s="81"/>
    </row>
    <row r="22" spans="1:7" x14ac:dyDescent="0.3">
      <c r="A22" s="10"/>
      <c r="B22" s="10"/>
      <c r="C22" s="10"/>
      <c r="D22" s="78"/>
      <c r="E22" s="78"/>
      <c r="F22" s="79"/>
      <c r="G22" s="10"/>
    </row>
    <row r="23" spans="1:7" x14ac:dyDescent="0.3">
      <c r="A23" s="10"/>
      <c r="B23" s="10"/>
      <c r="C23" s="10"/>
      <c r="D23" s="78"/>
      <c r="E23" s="78"/>
      <c r="F23" s="79"/>
      <c r="G23" s="10"/>
    </row>
  </sheetData>
  <sheetProtection algorithmName="SHA-512" hashValue="wBdfMPW0rvX20PiT6Nk5dzgYpF85ajbqn4GJwu6jWUXMMfGioIxMUN7hXCXJJVXksViw/iYHkjN7twy344Gt/w==" saltValue="AeqfZg0bl/0+VRE8hz+viA==" spinCount="100000" sheet="1" objects="1" scenarios="1"/>
  <mergeCells count="2">
    <mergeCell ref="A1:G1"/>
    <mergeCell ref="A17:F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A548-6D95-4234-A1A7-029F35452159}">
  <sheetPr codeName="Hoja2"/>
  <dimension ref="A1:K29"/>
  <sheetViews>
    <sheetView workbookViewId="0">
      <selection activeCell="D7" sqref="D7"/>
    </sheetView>
  </sheetViews>
  <sheetFormatPr baseColWidth="10" defaultRowHeight="14.4" x14ac:dyDescent="0.3"/>
  <cols>
    <col min="2" max="2" width="11.5546875" customWidth="1"/>
    <col min="4" max="4" width="34.77734375" customWidth="1"/>
    <col min="9" max="9" width="14.6640625" customWidth="1"/>
    <col min="11" max="11" width="14.5546875" customWidth="1"/>
    <col min="12" max="12" width="13.44140625" customWidth="1"/>
  </cols>
  <sheetData>
    <row r="1" spans="1:11" x14ac:dyDescent="0.3">
      <c r="A1" s="109" t="s">
        <v>0</v>
      </c>
      <c r="B1" s="109"/>
      <c r="C1" s="109"/>
      <c r="D1" s="109"/>
      <c r="E1" s="109"/>
      <c r="F1" s="46"/>
      <c r="G1" s="46"/>
      <c r="H1" s="46"/>
      <c r="I1" s="46"/>
      <c r="J1" s="46"/>
      <c r="K1" s="46"/>
    </row>
    <row r="2" spans="1:11" ht="21" x14ac:dyDescent="0.4">
      <c r="A2" s="107" t="s">
        <v>8</v>
      </c>
      <c r="B2" s="108"/>
      <c r="C2" s="108"/>
      <c r="D2" s="108"/>
      <c r="E2" s="2"/>
      <c r="F2" s="42"/>
      <c r="G2" s="107" t="s">
        <v>5</v>
      </c>
      <c r="H2" s="108"/>
      <c r="I2" s="110"/>
      <c r="J2" s="1"/>
    </row>
    <row r="3" spans="1:11" x14ac:dyDescent="0.3">
      <c r="A3" s="3" t="s">
        <v>1</v>
      </c>
      <c r="B3" s="4" t="s">
        <v>2</v>
      </c>
      <c r="C3" s="4" t="s">
        <v>6</v>
      </c>
      <c r="D3" s="4" t="s">
        <v>7</v>
      </c>
      <c r="E3" s="5" t="s">
        <v>19</v>
      </c>
      <c r="G3" s="19" t="s">
        <v>1</v>
      </c>
      <c r="H3" s="20" t="s">
        <v>2</v>
      </c>
      <c r="I3" s="21" t="s">
        <v>3</v>
      </c>
      <c r="J3" s="1"/>
    </row>
    <row r="4" spans="1:11" x14ac:dyDescent="0.3">
      <c r="A4" s="6" t="s">
        <v>10</v>
      </c>
      <c r="B4" s="7"/>
      <c r="C4" s="7"/>
      <c r="D4" s="7"/>
      <c r="E4" s="8">
        <f>SUM(C5:C8)</f>
        <v>14</v>
      </c>
      <c r="G4" s="9" t="s">
        <v>4</v>
      </c>
      <c r="H4" s="10">
        <v>10</v>
      </c>
      <c r="I4" s="12">
        <f>+C5+C18+C19</f>
        <v>11</v>
      </c>
      <c r="K4" s="1"/>
    </row>
    <row r="5" spans="1:11" x14ac:dyDescent="0.3">
      <c r="A5" s="9" t="s">
        <v>4</v>
      </c>
      <c r="B5" s="10">
        <v>10</v>
      </c>
      <c r="C5" s="10">
        <v>4</v>
      </c>
      <c r="D5" s="11" t="s">
        <v>9</v>
      </c>
      <c r="E5" s="12"/>
      <c r="G5" s="9" t="s">
        <v>35</v>
      </c>
      <c r="H5" s="10">
        <v>12</v>
      </c>
      <c r="I5" s="12">
        <f>+C20+C21</f>
        <v>12</v>
      </c>
    </row>
    <row r="6" spans="1:11" x14ac:dyDescent="0.3">
      <c r="A6" s="9" t="s">
        <v>4</v>
      </c>
      <c r="B6" s="10">
        <v>16</v>
      </c>
      <c r="C6" s="10">
        <v>6</v>
      </c>
      <c r="D6" s="11" t="s">
        <v>176</v>
      </c>
      <c r="E6" s="12"/>
      <c r="G6" s="9" t="s">
        <v>4</v>
      </c>
      <c r="H6" s="10">
        <v>16</v>
      </c>
      <c r="I6" s="12">
        <f>+C6+C7+C10+C11+C12+C13+C14+C15+C22+C23</f>
        <v>54</v>
      </c>
      <c r="J6" s="25">
        <f>50-20</f>
        <v>30</v>
      </c>
      <c r="K6" s="25" t="s">
        <v>36</v>
      </c>
    </row>
    <row r="7" spans="1:11" x14ac:dyDescent="0.3">
      <c r="A7" s="9" t="s">
        <v>4</v>
      </c>
      <c r="B7" s="10">
        <v>16</v>
      </c>
      <c r="C7" s="10">
        <v>1</v>
      </c>
      <c r="D7" s="11" t="s">
        <v>13</v>
      </c>
      <c r="E7" s="12"/>
      <c r="G7" s="9" t="s">
        <v>4</v>
      </c>
      <c r="H7" s="10">
        <v>20</v>
      </c>
      <c r="I7" s="12">
        <f>+C16+C24+C25</f>
        <v>8</v>
      </c>
      <c r="J7" s="25">
        <v>24</v>
      </c>
      <c r="K7" s="25" t="s">
        <v>36</v>
      </c>
    </row>
    <row r="8" spans="1:11" x14ac:dyDescent="0.3">
      <c r="A8" s="9" t="s">
        <v>4</v>
      </c>
      <c r="B8" s="10">
        <v>25</v>
      </c>
      <c r="C8" s="10">
        <v>3</v>
      </c>
      <c r="D8" s="11" t="s">
        <v>13</v>
      </c>
      <c r="E8" s="12"/>
      <c r="G8" s="9" t="s">
        <v>4</v>
      </c>
      <c r="H8" s="10">
        <v>25</v>
      </c>
      <c r="I8" s="12">
        <f>+C8+C26</f>
        <v>11</v>
      </c>
    </row>
    <row r="9" spans="1:11" x14ac:dyDescent="0.3">
      <c r="A9" s="6" t="s">
        <v>11</v>
      </c>
      <c r="B9" s="13"/>
      <c r="C9" s="13"/>
      <c r="D9" s="14"/>
      <c r="E9" s="8">
        <f>SUM(C10:C16)</f>
        <v>46</v>
      </c>
      <c r="G9" s="9" t="s">
        <v>29</v>
      </c>
      <c r="H9" s="10">
        <v>16</v>
      </c>
      <c r="I9" s="12">
        <f>+C28</f>
        <v>20</v>
      </c>
    </row>
    <row r="10" spans="1:11" x14ac:dyDescent="0.3">
      <c r="A10" s="9" t="s">
        <v>4</v>
      </c>
      <c r="B10" s="10">
        <v>16</v>
      </c>
      <c r="C10" s="10">
        <v>8</v>
      </c>
      <c r="D10" s="11" t="s">
        <v>15</v>
      </c>
      <c r="E10" s="12"/>
      <c r="G10" s="22" t="s">
        <v>33</v>
      </c>
      <c r="H10" s="16"/>
      <c r="I10" s="18">
        <f>SUM(I4:I9)</f>
        <v>116</v>
      </c>
    </row>
    <row r="11" spans="1:11" x14ac:dyDescent="0.3">
      <c r="A11" s="9" t="s">
        <v>4</v>
      </c>
      <c r="B11" s="10">
        <v>16</v>
      </c>
      <c r="C11" s="10">
        <v>6</v>
      </c>
      <c r="D11" s="11" t="s">
        <v>17</v>
      </c>
      <c r="E11" s="12"/>
    </row>
    <row r="12" spans="1:11" x14ac:dyDescent="0.3">
      <c r="A12" s="9" t="s">
        <v>4</v>
      </c>
      <c r="B12" s="10">
        <v>16</v>
      </c>
      <c r="C12" s="10">
        <v>12</v>
      </c>
      <c r="D12" s="11" t="s">
        <v>12</v>
      </c>
      <c r="E12" s="12"/>
      <c r="G12" s="47" t="s">
        <v>127</v>
      </c>
      <c r="H12" s="48"/>
      <c r="I12" s="45">
        <v>14000</v>
      </c>
    </row>
    <row r="13" spans="1:11" x14ac:dyDescent="0.3">
      <c r="A13" s="9" t="s">
        <v>4</v>
      </c>
      <c r="B13" s="10">
        <v>16</v>
      </c>
      <c r="C13" s="10">
        <v>8</v>
      </c>
      <c r="D13" s="11" t="s">
        <v>14</v>
      </c>
      <c r="E13" s="12"/>
    </row>
    <row r="14" spans="1:11" ht="14.4" customHeight="1" x14ac:dyDescent="0.3">
      <c r="A14" s="9" t="s">
        <v>4</v>
      </c>
      <c r="B14" s="10">
        <v>16</v>
      </c>
      <c r="C14" s="10">
        <v>4</v>
      </c>
      <c r="D14" s="11" t="s">
        <v>16</v>
      </c>
      <c r="E14" s="12"/>
      <c r="G14" s="111" t="s">
        <v>37</v>
      </c>
      <c r="H14" s="111"/>
      <c r="I14" s="111"/>
      <c r="J14" s="24"/>
      <c r="K14" s="24"/>
    </row>
    <row r="15" spans="1:11" x14ac:dyDescent="0.3">
      <c r="A15" s="9" t="s">
        <v>4</v>
      </c>
      <c r="B15" s="10">
        <v>16</v>
      </c>
      <c r="C15" s="10">
        <v>4</v>
      </c>
      <c r="D15" s="11" t="s">
        <v>18</v>
      </c>
      <c r="E15" s="12"/>
      <c r="G15" s="111"/>
      <c r="H15" s="111"/>
      <c r="I15" s="111"/>
      <c r="J15" s="24"/>
      <c r="K15" s="24"/>
    </row>
    <row r="16" spans="1:11" x14ac:dyDescent="0.3">
      <c r="A16" s="9" t="s">
        <v>4</v>
      </c>
      <c r="B16" s="10">
        <v>20</v>
      </c>
      <c r="C16" s="10">
        <v>4</v>
      </c>
      <c r="D16" s="11" t="s">
        <v>21</v>
      </c>
      <c r="E16" s="12"/>
      <c r="G16" s="49"/>
      <c r="H16" s="49"/>
      <c r="I16" s="49"/>
    </row>
    <row r="17" spans="1:7" x14ac:dyDescent="0.3">
      <c r="A17" s="6" t="s">
        <v>20</v>
      </c>
      <c r="B17" s="13"/>
      <c r="C17" s="13"/>
      <c r="D17" s="14"/>
      <c r="E17" s="8">
        <f>SUM(C18:C26)</f>
        <v>36</v>
      </c>
      <c r="G17" t="s">
        <v>38</v>
      </c>
    </row>
    <row r="18" spans="1:7" x14ac:dyDescent="0.3">
      <c r="A18" s="9" t="s">
        <v>4</v>
      </c>
      <c r="B18" s="10">
        <v>10</v>
      </c>
      <c r="C18" s="10">
        <v>4</v>
      </c>
      <c r="D18" s="11" t="s">
        <v>23</v>
      </c>
      <c r="E18" s="12"/>
    </row>
    <row r="19" spans="1:7" x14ac:dyDescent="0.3">
      <c r="A19" s="9" t="s">
        <v>4</v>
      </c>
      <c r="B19" s="10">
        <v>10</v>
      </c>
      <c r="C19" s="10">
        <v>3</v>
      </c>
      <c r="D19" s="11" t="s">
        <v>24</v>
      </c>
      <c r="E19" s="12"/>
    </row>
    <row r="20" spans="1:7" x14ac:dyDescent="0.3">
      <c r="A20" s="9" t="s">
        <v>4</v>
      </c>
      <c r="B20" s="10">
        <v>12</v>
      </c>
      <c r="C20" s="10">
        <v>8</v>
      </c>
      <c r="D20" s="11" t="s">
        <v>22</v>
      </c>
      <c r="E20" s="12"/>
    </row>
    <row r="21" spans="1:7" x14ac:dyDescent="0.3">
      <c r="A21" s="9" t="s">
        <v>4</v>
      </c>
      <c r="B21" s="10">
        <v>12</v>
      </c>
      <c r="C21" s="10">
        <v>4</v>
      </c>
      <c r="D21" s="11" t="s">
        <v>25</v>
      </c>
      <c r="E21" s="12"/>
    </row>
    <row r="22" spans="1:7" x14ac:dyDescent="0.3">
      <c r="A22" s="9" t="s">
        <v>4</v>
      </c>
      <c r="B22" s="10">
        <v>16</v>
      </c>
      <c r="C22" s="10">
        <v>4</v>
      </c>
      <c r="D22" s="11" t="s">
        <v>27</v>
      </c>
      <c r="E22" s="12"/>
    </row>
    <row r="23" spans="1:7" x14ac:dyDescent="0.3">
      <c r="A23" s="9" t="s">
        <v>4</v>
      </c>
      <c r="B23" s="10">
        <v>16</v>
      </c>
      <c r="C23" s="10">
        <v>1</v>
      </c>
      <c r="D23" s="11" t="s">
        <v>32</v>
      </c>
      <c r="E23" s="12"/>
    </row>
    <row r="24" spans="1:7" x14ac:dyDescent="0.3">
      <c r="A24" s="9" t="s">
        <v>4</v>
      </c>
      <c r="B24" s="10">
        <v>20</v>
      </c>
      <c r="C24" s="10">
        <v>3</v>
      </c>
      <c r="D24" s="11" t="s">
        <v>175</v>
      </c>
      <c r="E24" s="12"/>
    </row>
    <row r="25" spans="1:7" x14ac:dyDescent="0.3">
      <c r="A25" s="9" t="s">
        <v>4</v>
      </c>
      <c r="B25" s="10">
        <v>20</v>
      </c>
      <c r="C25" s="10">
        <v>1</v>
      </c>
      <c r="D25" s="11" t="s">
        <v>28</v>
      </c>
      <c r="E25" s="12"/>
    </row>
    <row r="26" spans="1:7" x14ac:dyDescent="0.3">
      <c r="A26" s="9" t="s">
        <v>4</v>
      </c>
      <c r="B26" s="10">
        <v>25</v>
      </c>
      <c r="C26" s="10">
        <v>8</v>
      </c>
      <c r="D26" s="11" t="s">
        <v>26</v>
      </c>
      <c r="E26" s="12"/>
    </row>
    <row r="27" spans="1:7" x14ac:dyDescent="0.3">
      <c r="A27" s="6" t="s">
        <v>30</v>
      </c>
      <c r="B27" s="13"/>
      <c r="C27" s="13"/>
      <c r="D27" s="14"/>
      <c r="E27" s="8">
        <f>SUM(C28:C35)</f>
        <v>20</v>
      </c>
    </row>
    <row r="28" spans="1:7" x14ac:dyDescent="0.3">
      <c r="A28" s="9" t="s">
        <v>29</v>
      </c>
      <c r="B28" s="10">
        <v>16</v>
      </c>
      <c r="C28" s="10">
        <v>20</v>
      </c>
      <c r="D28" s="11" t="s">
        <v>31</v>
      </c>
      <c r="E28" s="12"/>
    </row>
    <row r="29" spans="1:7" x14ac:dyDescent="0.3">
      <c r="A29" s="15"/>
      <c r="B29" s="16"/>
      <c r="C29" s="17" t="s">
        <v>34</v>
      </c>
      <c r="D29" s="17"/>
      <c r="E29" s="18">
        <f>SUM(E4:E28)</f>
        <v>116</v>
      </c>
    </row>
  </sheetData>
  <sheetProtection algorithmName="SHA-512" hashValue="ut1tQUibtopVHiL8eWPvtyVvU7vcILFvh0EWArB53A87ZQSSQWGLIq7iVXoKTZd66I8zGIdijtLNaenIY9GKNA==" saltValue="NAsokOshNqU9Z6CHybu+PQ==" spinCount="100000" sheet="1" objects="1" scenarios="1"/>
  <mergeCells count="4">
    <mergeCell ref="A2:D2"/>
    <mergeCell ref="A1:E1"/>
    <mergeCell ref="G2:I2"/>
    <mergeCell ref="G14:I15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Tabla Interactiva</vt:lpstr>
      <vt:lpstr>Elementos</vt:lpstr>
      <vt:lpstr>Marco</vt:lpstr>
      <vt:lpstr>Partes 3D</vt:lpstr>
      <vt:lpstr>Tornillos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Mateo Velásquez Molina</dc:creator>
  <cp:lastModifiedBy>Mateo Velásquez Molina</cp:lastModifiedBy>
  <dcterms:created xsi:type="dcterms:W3CDTF">2019-06-29T03:31:46Z</dcterms:created>
  <dcterms:modified xsi:type="dcterms:W3CDTF">2019-10-26T19:34:13Z</dcterms:modified>
</cp:coreProperties>
</file>